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C:\Users\Faizan\Desktop\Restaurant Analytics Excel\"/>
    </mc:Choice>
  </mc:AlternateContent>
  <xr:revisionPtr revIDLastSave="0" documentId="13_ncr:1_{48D49C5B-DB1E-451A-AE04-BEDB2BDF4B84}" xr6:coauthVersionLast="47" xr6:coauthVersionMax="47" xr10:uidLastSave="{00000000-0000-0000-0000-000000000000}"/>
  <bookViews>
    <workbookView xWindow="-108" yWindow="-108" windowWidth="23256" windowHeight="12456" activeTab="1" xr2:uid="{7CA3B551-6ADC-4239-A352-36E332A0E45B}"/>
  </bookViews>
  <sheets>
    <sheet name="KPIs" sheetId="2" r:id="rId1"/>
    <sheet name="Dashboard" sheetId="3" r:id="rId2"/>
    <sheet name="BQ" sheetId="4" r:id="rId3"/>
  </sheets>
  <definedNames>
    <definedName name="Slicer_Continent">#N/A</definedName>
    <definedName name="Slicer_Price_Category">#N/A</definedName>
    <definedName name="Slicer_Rating">#N/A</definedName>
  </definedNames>
  <calcPr calcId="191029"/>
  <pivotCaches>
    <pivotCache cacheId="905" r:id="rId4"/>
    <pivotCache cacheId="908" r:id="rId5"/>
    <pivotCache cacheId="911" r:id="rId6"/>
    <pivotCache cacheId="914" r:id="rId7"/>
    <pivotCache cacheId="917" r:id="rId8"/>
    <pivotCache cacheId="920" r:id="rId9"/>
    <pivotCache cacheId="923" r:id="rId10"/>
    <pivotCache cacheId="926" r:id="rId11"/>
    <pivotCache cacheId="929" r:id="rId12"/>
  </pivotCaches>
  <extLst>
    <ext xmlns:x14="http://schemas.microsoft.com/office/spreadsheetml/2009/9/main" uri="{876F7934-8845-4945-9796-88D515C7AA90}">
      <x14:pivotCaches>
        <pivotCache cacheId="48" r:id="rId13"/>
      </x14:pivotCaches>
    </ext>
    <ext xmlns:x14="http://schemas.microsoft.com/office/spreadsheetml/2009/9/main" uri="{BBE1A952-AA13-448e-AADC-164F8A28A991}">
      <x14:slicerCaches>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leaned_e6dc49c1-317a-457c-8ae4-2fcceaf917da" name="cleaned" connection="Query - cleaned"/>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95" i="4" l="1"/>
  <c r="E96" i="4"/>
  <c r="E97" i="4"/>
  <c r="E98" i="4"/>
  <c r="E99" i="4"/>
  <c r="E100" i="4"/>
  <c r="E101" i="4"/>
  <c r="E102" i="4"/>
  <c r="E103" i="4"/>
  <c r="E104" i="4"/>
  <c r="E105" i="4"/>
  <c r="E106" i="4"/>
  <c r="E107" i="4"/>
  <c r="E108" i="4"/>
  <c r="E109" i="4"/>
  <c r="E110" i="4"/>
  <c r="E111" i="4"/>
  <c r="E112" i="4"/>
  <c r="E113" i="4"/>
  <c r="E114" i="4"/>
  <c r="E115" i="4"/>
  <c r="E116" i="4"/>
  <c r="E117" i="4"/>
  <c r="E118" i="4"/>
  <c r="E119" i="4"/>
  <c r="D95" i="4"/>
  <c r="D96" i="4"/>
  <c r="D97" i="4"/>
  <c r="D98" i="4"/>
  <c r="D99" i="4"/>
  <c r="D100" i="4"/>
  <c r="D101" i="4"/>
  <c r="D102" i="4"/>
  <c r="D103" i="4"/>
  <c r="D104" i="4"/>
  <c r="D105" i="4"/>
  <c r="D106" i="4"/>
  <c r="D107" i="4"/>
  <c r="D108" i="4"/>
  <c r="D109" i="4"/>
  <c r="D110" i="4"/>
  <c r="D111" i="4"/>
  <c r="D112" i="4"/>
  <c r="D113" i="4"/>
  <c r="D114" i="4"/>
  <c r="D115" i="4"/>
  <c r="D116" i="4"/>
  <c r="D117" i="4"/>
  <c r="D118" i="4"/>
  <c r="D119" i="4"/>
  <c r="E94" i="4"/>
  <c r="D94" i="4"/>
  <c r="D8" i="2"/>
  <c r="D11" i="2"/>
  <c r="D5" i="2"/>
  <c r="D2"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6644A03-B72E-48CA-922D-DA5C26D69A77}" name="Query - cleaned" description="Connection to the 'cleaned' query in the workbook." type="100" refreshedVersion="8" minRefreshableVersion="5">
    <extLst>
      <ext xmlns:x15="http://schemas.microsoft.com/office/spreadsheetml/2010/11/main" uri="{DE250136-89BD-433C-8126-D09CA5730AF9}">
        <x15:connection id="e103faf7-fb07-4d7d-ab81-cf465236a77b"/>
      </ext>
    </extLst>
  </connection>
  <connection id="2" xr16:uid="{BDC357F8-7107-423D-BDE1-09CD492C2CB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<sst xmlns="http://schemas.openxmlformats.org/spreadsheetml/2006/main" count="110" uniqueCount="57">
  <si>
    <t>Europe</t>
  </si>
  <si>
    <t>Italian Contemporary</t>
  </si>
  <si>
    <t>Asia</t>
  </si>
  <si>
    <t>French Contemporary</t>
  </si>
  <si>
    <t>North America</t>
  </si>
  <si>
    <t>French</t>
  </si>
  <si>
    <t>French Vegetarian</t>
  </si>
  <si>
    <t>Mediterranean</t>
  </si>
  <si>
    <t>Nordic Contemporary</t>
  </si>
  <si>
    <t>French Seafood</t>
  </si>
  <si>
    <t>Italian</t>
  </si>
  <si>
    <t>Basque</t>
  </si>
  <si>
    <t>Contemporary French</t>
  </si>
  <si>
    <t>Contemporary American</t>
  </si>
  <si>
    <t>French Haute Cuisine</t>
  </si>
  <si>
    <t>Italian Haute Cuisine</t>
  </si>
  <si>
    <t>Contemporary Catalan</t>
  </si>
  <si>
    <t>New Nordic</t>
  </si>
  <si>
    <t>Molecular Gastronomy</t>
  </si>
  <si>
    <t>Avant-Garde</t>
  </si>
  <si>
    <t>Japanese Kaiseki</t>
  </si>
  <si>
    <t>Japanese-Californian</t>
  </si>
  <si>
    <t>Asian Fusion</t>
  </si>
  <si>
    <t>Japanese Innovative</t>
  </si>
  <si>
    <t>Austrian Contemporary</t>
  </si>
  <si>
    <t>Basque Experimental</t>
  </si>
  <si>
    <t>Experimental</t>
  </si>
  <si>
    <t>Basque Grill</t>
  </si>
  <si>
    <t>British Contemporary</t>
  </si>
  <si>
    <t>Modern Bbq</t>
  </si>
  <si>
    <t>South America</t>
  </si>
  <si>
    <t>Contemporary Peruvian</t>
  </si>
  <si>
    <t>Nikkei</t>
  </si>
  <si>
    <t>Contemporary Mexican</t>
  </si>
  <si>
    <t>Progressive Indian</t>
  </si>
  <si>
    <t>Contemporary German</t>
  </si>
  <si>
    <t>Chilean Contemporary</t>
  </si>
  <si>
    <t>Farm-To-Table</t>
  </si>
  <si>
    <t>Contemporary Russian</t>
  </si>
  <si>
    <t>Colombian Contemporary</t>
  </si>
  <si>
    <t>Average of Rating</t>
  </si>
  <si>
    <t>Row Labels</t>
  </si>
  <si>
    <t>Grand Total</t>
  </si>
  <si>
    <t>Total Restaurants</t>
  </si>
  <si>
    <t>Count of Restaurant_Name</t>
  </si>
  <si>
    <t>Total Michelin Stars</t>
  </si>
  <si>
    <t>Sum of Michelin_Stars</t>
  </si>
  <si>
    <t>Average Rating</t>
  </si>
  <si>
    <t>Average Price per Star</t>
  </si>
  <si>
    <t>Michelin Star Distribution by Continent</t>
  </si>
  <si>
    <t>Average Rating per Cuisine Type</t>
  </si>
  <si>
    <t>Average Price per Cuisine Type</t>
  </si>
  <si>
    <t>Average of Average_Price_USD</t>
  </si>
  <si>
    <t>Years Operating vs Michelin Stars</t>
  </si>
  <si>
    <t>Years Operating</t>
  </si>
  <si>
    <t>Top Restaurants per Continent by Rating</t>
  </si>
  <si>
    <t>Max of 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</si>
</sst>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0" formatCode="0.0"/>
    <numFmt numFmtId="171" formatCode="&quot;$&quot;#,##0.00"/>
  </numFmts>
  <fonts count="1" x14ac:knownFonts="1">
    <font>
      <sz val="11"/>
      <color theme="1"/>
      <name val="SF Pro Display"/>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0" fillId="0" borderId="0" xfId="0" applyNumberFormat="1"/>
    <xf numFmtId="0" fontId="0" fillId="0" borderId="0" xfId="0" pivotButton="1"/>
    <xf numFmtId="0" fontId="0" fillId="0" borderId="0" xfId="0" applyAlignment="1">
      <alignment horizontal="left"/>
    </xf>
    <xf numFmtId="2" fontId="0" fillId="0" borderId="0" xfId="0" applyNumberFormat="1"/>
    <xf numFmtId="170" fontId="0" fillId="0" borderId="0" xfId="0" applyNumberFormat="1"/>
    <xf numFmtId="1" fontId="0" fillId="0" borderId="0" xfId="0" applyNumberFormat="1"/>
    <xf numFmtId="171" fontId="0" fillId="0" borderId="0" xfId="0" applyNumberForma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0.xml"/><Relationship Id="rId18" Type="http://schemas.openxmlformats.org/officeDocument/2006/relationships/connections" Target="connections.xml"/><Relationship Id="rId26" Type="http://schemas.openxmlformats.org/officeDocument/2006/relationships/customXml" Target="../customXml/item4.xml"/><Relationship Id="rId39" Type="http://schemas.openxmlformats.org/officeDocument/2006/relationships/customXml" Target="../customXml/item17.xml"/><Relationship Id="rId21" Type="http://schemas.openxmlformats.org/officeDocument/2006/relationships/powerPivotData" Target="model/item.data"/><Relationship Id="rId34" Type="http://schemas.openxmlformats.org/officeDocument/2006/relationships/customXml" Target="../customXml/item12.xml"/><Relationship Id="rId42" Type="http://schemas.openxmlformats.org/officeDocument/2006/relationships/customXml" Target="../customXml/item20.xml"/><Relationship Id="rId47" Type="http://schemas.openxmlformats.org/officeDocument/2006/relationships/customXml" Target="../customXml/item25.xml"/><Relationship Id="rId7" Type="http://schemas.openxmlformats.org/officeDocument/2006/relationships/pivotCacheDefinition" Target="pivotCache/pivotCacheDefinition4.xml"/><Relationship Id="rId2" Type="http://schemas.openxmlformats.org/officeDocument/2006/relationships/worksheet" Target="worksheets/sheet2.xml"/><Relationship Id="rId16" Type="http://schemas.microsoft.com/office/2007/relationships/slicerCache" Target="slicerCaches/slicerCache3.xml"/><Relationship Id="rId29" Type="http://schemas.openxmlformats.org/officeDocument/2006/relationships/customXml" Target="../customXml/item7.xml"/><Relationship Id="rId11" Type="http://schemas.openxmlformats.org/officeDocument/2006/relationships/pivotCacheDefinition" Target="pivotCache/pivotCacheDefinition8.xml"/><Relationship Id="rId24" Type="http://schemas.openxmlformats.org/officeDocument/2006/relationships/customXml" Target="../customXml/item2.xml"/><Relationship Id="rId32" Type="http://schemas.openxmlformats.org/officeDocument/2006/relationships/customXml" Target="../customXml/item10.xml"/><Relationship Id="rId37" Type="http://schemas.openxmlformats.org/officeDocument/2006/relationships/customXml" Target="../customXml/item15.xml"/><Relationship Id="rId40" Type="http://schemas.openxmlformats.org/officeDocument/2006/relationships/customXml" Target="../customXml/item18.xml"/><Relationship Id="rId45" Type="http://schemas.openxmlformats.org/officeDocument/2006/relationships/customXml" Target="../customXml/item23.xml"/><Relationship Id="rId5" Type="http://schemas.openxmlformats.org/officeDocument/2006/relationships/pivotCacheDefinition" Target="pivotCache/pivotCacheDefinition2.xml"/><Relationship Id="rId15" Type="http://schemas.microsoft.com/office/2007/relationships/slicerCache" Target="slicerCaches/slicerCache2.xml"/><Relationship Id="rId23" Type="http://schemas.openxmlformats.org/officeDocument/2006/relationships/customXml" Target="../customXml/item1.xml"/><Relationship Id="rId28" Type="http://schemas.openxmlformats.org/officeDocument/2006/relationships/customXml" Target="../customXml/item6.xml"/><Relationship Id="rId36" Type="http://schemas.openxmlformats.org/officeDocument/2006/relationships/customXml" Target="../customXml/item14.xml"/><Relationship Id="rId49" Type="http://schemas.openxmlformats.org/officeDocument/2006/relationships/customXml" Target="../customXml/item27.xml"/><Relationship Id="rId10" Type="http://schemas.openxmlformats.org/officeDocument/2006/relationships/pivotCacheDefinition" Target="pivotCache/pivotCacheDefinition7.xml"/><Relationship Id="rId19" Type="http://schemas.openxmlformats.org/officeDocument/2006/relationships/styles" Target="styles.xml"/><Relationship Id="rId31" Type="http://schemas.openxmlformats.org/officeDocument/2006/relationships/customXml" Target="../customXml/item9.xml"/><Relationship Id="rId44" Type="http://schemas.openxmlformats.org/officeDocument/2006/relationships/customXml" Target="../customXml/item22.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microsoft.com/office/2007/relationships/slicerCache" Target="slicerCaches/slicerCache1.xml"/><Relationship Id="rId22" Type="http://schemas.openxmlformats.org/officeDocument/2006/relationships/calcChain" Target="calcChain.xml"/><Relationship Id="rId27" Type="http://schemas.openxmlformats.org/officeDocument/2006/relationships/customXml" Target="../customXml/item5.xml"/><Relationship Id="rId30" Type="http://schemas.openxmlformats.org/officeDocument/2006/relationships/customXml" Target="../customXml/item8.xml"/><Relationship Id="rId35" Type="http://schemas.openxmlformats.org/officeDocument/2006/relationships/customXml" Target="../customXml/item13.xml"/><Relationship Id="rId43" Type="http://schemas.openxmlformats.org/officeDocument/2006/relationships/customXml" Target="../customXml/item21.xml"/><Relationship Id="rId48" Type="http://schemas.openxmlformats.org/officeDocument/2006/relationships/customXml" Target="../customXml/item26.xml"/><Relationship Id="rId8" Type="http://schemas.openxmlformats.org/officeDocument/2006/relationships/pivotCacheDefinition" Target="pivotCache/pivotCacheDefinition5.xml"/><Relationship Id="rId3" Type="http://schemas.openxmlformats.org/officeDocument/2006/relationships/worksheet" Target="worksheets/sheet3.xml"/><Relationship Id="rId12" Type="http://schemas.openxmlformats.org/officeDocument/2006/relationships/pivotCacheDefinition" Target="pivotCache/pivotCacheDefinition9.xml"/><Relationship Id="rId17" Type="http://schemas.openxmlformats.org/officeDocument/2006/relationships/theme" Target="theme/theme1.xml"/><Relationship Id="rId25" Type="http://schemas.openxmlformats.org/officeDocument/2006/relationships/customXml" Target="../customXml/item3.xml"/><Relationship Id="rId33" Type="http://schemas.openxmlformats.org/officeDocument/2006/relationships/customXml" Target="../customXml/item11.xml"/><Relationship Id="rId38" Type="http://schemas.openxmlformats.org/officeDocument/2006/relationships/customXml" Target="../customXml/item16.xml"/><Relationship Id="rId46" Type="http://schemas.openxmlformats.org/officeDocument/2006/relationships/customXml" Target="../customXml/item24.xml"/><Relationship Id="rId20" Type="http://schemas.openxmlformats.org/officeDocument/2006/relationships/sharedStrings" Target="sharedStrings.xml"/><Relationship Id="rId41" Type="http://schemas.openxmlformats.org/officeDocument/2006/relationships/customXml" Target="../customXml/item19.xml"/><Relationship Id="rId1" Type="http://schemas.openxmlformats.org/officeDocument/2006/relationships/worksheet" Target="worksheets/sheet1.xml"/><Relationship Id="rId6" Type="http://schemas.openxmlformats.org/officeDocument/2006/relationships/pivotCacheDefinition" Target="pivotCache/pivotCacheDefinition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[Book1.xlsx]BQ!PivotTable5</c:name>
    <c:fmtId val="5"/>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Michelin Star Distribution </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LID4096"/>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BQ!$B$2</c:f>
              <c:strCache>
                <c:ptCount val="1"/>
                <c:pt idx="0">
                  <c:v>Total</c:v>
                </c:pt>
              </c:strCache>
            </c:strRef>
          </c:tx>
          <c:spPr>
            <a:solidFill>
              <a:schemeClr val="accent1"/>
            </a:solidFill>
            <a:ln>
              <a:noFill/>
            </a:ln>
            <a:effectLst/>
          </c:spPr>
          <c:invertIfNegative val="0"/>
          <c:cat>
            <c:strRef>
              <c:f>BQ!$A$3:$A$7</c:f>
              <c:strCache>
                <c:ptCount val="4"/>
                <c:pt idx="0">
                  <c:v>Asia</c:v>
                </c:pt>
                <c:pt idx="1">
                  <c:v>Europe</c:v>
                </c:pt>
                <c:pt idx="2">
                  <c:v>North America</c:v>
                </c:pt>
                <c:pt idx="3">
                  <c:v>South America</c:v>
                </c:pt>
              </c:strCache>
            </c:strRef>
          </c:cat>
          <c:val>
            <c:numRef>
              <c:f>BQ!$B$3:$B$7</c:f>
              <c:numCache>
                <c:formatCode>General</c:formatCode>
                <c:ptCount val="4"/>
                <c:pt idx="0">
                  <c:v>17</c:v>
                </c:pt>
                <c:pt idx="1">
                  <c:v>57</c:v>
                </c:pt>
                <c:pt idx="2">
                  <c:v>22</c:v>
                </c:pt>
                <c:pt idx="3">
                  <c:v>0</c:v>
                </c:pt>
              </c:numCache>
            </c:numRef>
          </c:val>
          <c:extLst>
            <c:ext xmlns:c16="http://schemas.microsoft.com/office/drawing/2014/chart" uri="{C3380CC4-5D6E-409C-BE32-E72D297353CC}">
              <c16:uniqueId val="{00000001-1F3F-4518-80F6-EFEA55AE17A4}"/>
            </c:ext>
          </c:extLst>
        </c:ser>
        <c:dLbls>
          <c:showLegendKey val="0"/>
          <c:showVal val="0"/>
          <c:showCatName val="0"/>
          <c:showSerName val="0"/>
          <c:showPercent val="0"/>
          <c:showBubbleSize val="0"/>
        </c:dLbls>
        <c:gapWidth val="150"/>
        <c:overlap val="100"/>
        <c:axId val="150303840"/>
        <c:axId val="150305280"/>
      </c:barChart>
      <c:catAx>
        <c:axId val="1503038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150305280"/>
        <c:crosses val="autoZero"/>
        <c:auto val="1"/>
        <c:lblAlgn val="ctr"/>
        <c:lblOffset val="100"/>
        <c:noMultiLvlLbl val="0"/>
      </c:catAx>
      <c:valAx>
        <c:axId val="15030528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1503038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[Book1.xlsx]BQ!PivotTable6</c:name>
    <c:fmtId val="5"/>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Average Rating per Cuisine Type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LID4096"/>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BQ!$B$11</c:f>
              <c:strCache>
                <c:ptCount val="1"/>
                <c:pt idx="0">
                  <c:v>Total</c:v>
                </c:pt>
              </c:strCache>
            </c:strRef>
          </c:tx>
          <c:spPr>
            <a:solidFill>
              <a:schemeClr val="accent1"/>
            </a:solidFill>
            <a:ln>
              <a:noFill/>
            </a:ln>
            <a:effectLst/>
          </c:spPr>
          <c:invertIfNegative val="0"/>
          <c:cat>
            <c:strRef>
              <c:f>BQ!$A$12:$A$48</c:f>
              <c:strCache>
                <c:ptCount val="36"/>
                <c:pt idx="0">
                  <c:v>Asian Fusion</c:v>
                </c:pt>
                <c:pt idx="1">
                  <c:v>Austrian Contemporary</c:v>
                </c:pt>
                <c:pt idx="2">
                  <c:v>Avant-Garde</c:v>
                </c:pt>
                <c:pt idx="3">
                  <c:v>Basque</c:v>
                </c:pt>
                <c:pt idx="4">
                  <c:v>Basque Experimental</c:v>
                </c:pt>
                <c:pt idx="5">
                  <c:v>Basque Grill</c:v>
                </c:pt>
                <c:pt idx="6">
                  <c:v>British Contemporary</c:v>
                </c:pt>
                <c:pt idx="7">
                  <c:v>Chilean Contemporary</c:v>
                </c:pt>
                <c:pt idx="8">
                  <c:v>Colombian Contemporary</c:v>
                </c:pt>
                <c:pt idx="9">
                  <c:v>Contemporary American</c:v>
                </c:pt>
                <c:pt idx="10">
                  <c:v>Contemporary Catalan</c:v>
                </c:pt>
                <c:pt idx="11">
                  <c:v>Contemporary French</c:v>
                </c:pt>
                <c:pt idx="12">
                  <c:v>Contemporary German</c:v>
                </c:pt>
                <c:pt idx="13">
                  <c:v>Contemporary Mexican</c:v>
                </c:pt>
                <c:pt idx="14">
                  <c:v>Contemporary Peruvian</c:v>
                </c:pt>
                <c:pt idx="15">
                  <c:v>Contemporary Russian</c:v>
                </c:pt>
                <c:pt idx="16">
                  <c:v>Experimental</c:v>
                </c:pt>
                <c:pt idx="17">
                  <c:v>Farm-To-Table</c:v>
                </c:pt>
                <c:pt idx="18">
                  <c:v>French</c:v>
                </c:pt>
                <c:pt idx="19">
                  <c:v>French Contemporary</c:v>
                </c:pt>
                <c:pt idx="20">
                  <c:v>French Haute Cuisine</c:v>
                </c:pt>
                <c:pt idx="21">
                  <c:v>French Seafood</c:v>
                </c:pt>
                <c:pt idx="22">
                  <c:v>French Vegetarian</c:v>
                </c:pt>
                <c:pt idx="23">
                  <c:v>Italian</c:v>
                </c:pt>
                <c:pt idx="24">
                  <c:v>Italian Contemporary</c:v>
                </c:pt>
                <c:pt idx="25">
                  <c:v>Italian Haute Cuisine</c:v>
                </c:pt>
                <c:pt idx="26">
                  <c:v>Japanese Innovative</c:v>
                </c:pt>
                <c:pt idx="27">
                  <c:v>Japanese Kaiseki</c:v>
                </c:pt>
                <c:pt idx="28">
                  <c:v>Japanese-Californian</c:v>
                </c:pt>
                <c:pt idx="29">
                  <c:v>Mediterranean</c:v>
                </c:pt>
                <c:pt idx="30">
                  <c:v>Modern Bbq</c:v>
                </c:pt>
                <c:pt idx="31">
                  <c:v>Molecular Gastronomy</c:v>
                </c:pt>
                <c:pt idx="32">
                  <c:v>New Nordic</c:v>
                </c:pt>
                <c:pt idx="33">
                  <c:v>Nikkei</c:v>
                </c:pt>
                <c:pt idx="34">
                  <c:v>Nordic Contemporary</c:v>
                </c:pt>
                <c:pt idx="35">
                  <c:v>Progressive Indian</c:v>
                </c:pt>
              </c:strCache>
            </c:strRef>
          </c:cat>
          <c:val>
            <c:numRef>
              <c:f>BQ!$B$12:$B$48</c:f>
              <c:numCache>
                <c:formatCode>General</c:formatCode>
                <c:ptCount val="36"/>
                <c:pt idx="0">
                  <c:v>4.7</c:v>
                </c:pt>
                <c:pt idx="1">
                  <c:v>4.7</c:v>
                </c:pt>
                <c:pt idx="2">
                  <c:v>4.5999999999999996</c:v>
                </c:pt>
                <c:pt idx="3">
                  <c:v>4.75</c:v>
                </c:pt>
                <c:pt idx="4">
                  <c:v>4.5999999999999996</c:v>
                </c:pt>
                <c:pt idx="5">
                  <c:v>4.7</c:v>
                </c:pt>
                <c:pt idx="6">
                  <c:v>4.55</c:v>
                </c:pt>
                <c:pt idx="7">
                  <c:v>4.5999999999999996</c:v>
                </c:pt>
                <c:pt idx="8">
                  <c:v>4.5</c:v>
                </c:pt>
                <c:pt idx="9">
                  <c:v>4.7333333333333334</c:v>
                </c:pt>
                <c:pt idx="10">
                  <c:v>4.7</c:v>
                </c:pt>
                <c:pt idx="11">
                  <c:v>4.8</c:v>
                </c:pt>
                <c:pt idx="12">
                  <c:v>4.5999999999999996</c:v>
                </c:pt>
                <c:pt idx="13">
                  <c:v>4.6500000000000004</c:v>
                </c:pt>
                <c:pt idx="14">
                  <c:v>4.8</c:v>
                </c:pt>
                <c:pt idx="15">
                  <c:v>4.5</c:v>
                </c:pt>
                <c:pt idx="16">
                  <c:v>4.5</c:v>
                </c:pt>
                <c:pt idx="17">
                  <c:v>4.5999999999999996</c:v>
                </c:pt>
                <c:pt idx="18">
                  <c:v>4.8</c:v>
                </c:pt>
                <c:pt idx="19">
                  <c:v>4.7249999999999996</c:v>
                </c:pt>
                <c:pt idx="20">
                  <c:v>4.8</c:v>
                </c:pt>
                <c:pt idx="21">
                  <c:v>4.8</c:v>
                </c:pt>
                <c:pt idx="22">
                  <c:v>4.9000000000000004</c:v>
                </c:pt>
                <c:pt idx="23">
                  <c:v>4.75</c:v>
                </c:pt>
                <c:pt idx="24">
                  <c:v>4.9000000000000004</c:v>
                </c:pt>
                <c:pt idx="25">
                  <c:v>4.8</c:v>
                </c:pt>
                <c:pt idx="26">
                  <c:v>4.7</c:v>
                </c:pt>
                <c:pt idx="27">
                  <c:v>4.7</c:v>
                </c:pt>
                <c:pt idx="28">
                  <c:v>4.7</c:v>
                </c:pt>
                <c:pt idx="29">
                  <c:v>4.7333333333333334</c:v>
                </c:pt>
                <c:pt idx="30">
                  <c:v>4.5999999999999996</c:v>
                </c:pt>
                <c:pt idx="31">
                  <c:v>4.7</c:v>
                </c:pt>
                <c:pt idx="32">
                  <c:v>4.75</c:v>
                </c:pt>
                <c:pt idx="33">
                  <c:v>4.7</c:v>
                </c:pt>
                <c:pt idx="34">
                  <c:v>4.8</c:v>
                </c:pt>
                <c:pt idx="35">
                  <c:v>4.5999999999999996</c:v>
                </c:pt>
              </c:numCache>
            </c:numRef>
          </c:val>
          <c:extLst>
            <c:ext xmlns:c16="http://schemas.microsoft.com/office/drawing/2014/chart" uri="{C3380CC4-5D6E-409C-BE32-E72D297353CC}">
              <c16:uniqueId val="{00000001-4F83-4783-8F3A-B5922DCC6A15}"/>
            </c:ext>
          </c:extLst>
        </c:ser>
        <c:dLbls>
          <c:showLegendKey val="0"/>
          <c:showVal val="0"/>
          <c:showCatName val="0"/>
          <c:showSerName val="0"/>
          <c:showPercent val="0"/>
          <c:showBubbleSize val="0"/>
        </c:dLbls>
        <c:gapWidth val="150"/>
        <c:overlap val="100"/>
        <c:axId val="99340384"/>
        <c:axId val="99340864"/>
      </c:barChart>
      <c:catAx>
        <c:axId val="99340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99340864"/>
        <c:crosses val="autoZero"/>
        <c:auto val="1"/>
        <c:lblAlgn val="ctr"/>
        <c:lblOffset val="100"/>
        <c:noMultiLvlLbl val="0"/>
      </c:catAx>
      <c:valAx>
        <c:axId val="993408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993403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[Book1.xlsx]BQ!PivotTable7</c:name>
    <c:fmtId val="3"/>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Average Price per Cuisine Type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LID4096"/>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BQ!$B$52</c:f>
              <c:strCache>
                <c:ptCount val="1"/>
                <c:pt idx="0">
                  <c:v>Total</c:v>
                </c:pt>
              </c:strCache>
            </c:strRef>
          </c:tx>
          <c:spPr>
            <a:solidFill>
              <a:schemeClr val="accent1"/>
            </a:solidFill>
            <a:ln>
              <a:noFill/>
            </a:ln>
            <a:effectLst/>
          </c:spPr>
          <c:invertIfNegative val="0"/>
          <c:cat>
            <c:strRef>
              <c:f>BQ!$A$53:$A$89</c:f>
              <c:strCache>
                <c:ptCount val="36"/>
                <c:pt idx="0">
                  <c:v>Asian Fusion</c:v>
                </c:pt>
                <c:pt idx="1">
                  <c:v>Austrian Contemporary</c:v>
                </c:pt>
                <c:pt idx="2">
                  <c:v>Avant-Garde</c:v>
                </c:pt>
                <c:pt idx="3">
                  <c:v>Basque</c:v>
                </c:pt>
                <c:pt idx="4">
                  <c:v>Basque Experimental</c:v>
                </c:pt>
                <c:pt idx="5">
                  <c:v>Basque Grill</c:v>
                </c:pt>
                <c:pt idx="6">
                  <c:v>British Contemporary</c:v>
                </c:pt>
                <c:pt idx="7">
                  <c:v>Chilean Contemporary</c:v>
                </c:pt>
                <c:pt idx="8">
                  <c:v>Colombian Contemporary</c:v>
                </c:pt>
                <c:pt idx="9">
                  <c:v>Contemporary American</c:v>
                </c:pt>
                <c:pt idx="10">
                  <c:v>Contemporary Catalan</c:v>
                </c:pt>
                <c:pt idx="11">
                  <c:v>Contemporary French</c:v>
                </c:pt>
                <c:pt idx="12">
                  <c:v>Contemporary German</c:v>
                </c:pt>
                <c:pt idx="13">
                  <c:v>Contemporary Mexican</c:v>
                </c:pt>
                <c:pt idx="14">
                  <c:v>Contemporary Peruvian</c:v>
                </c:pt>
                <c:pt idx="15">
                  <c:v>Contemporary Russian</c:v>
                </c:pt>
                <c:pt idx="16">
                  <c:v>Experimental</c:v>
                </c:pt>
                <c:pt idx="17">
                  <c:v>Farm-To-Table</c:v>
                </c:pt>
                <c:pt idx="18">
                  <c:v>French</c:v>
                </c:pt>
                <c:pt idx="19">
                  <c:v>French Contemporary</c:v>
                </c:pt>
                <c:pt idx="20">
                  <c:v>French Haute Cuisine</c:v>
                </c:pt>
                <c:pt idx="21">
                  <c:v>French Seafood</c:v>
                </c:pt>
                <c:pt idx="22">
                  <c:v>French Vegetarian</c:v>
                </c:pt>
                <c:pt idx="23">
                  <c:v>Italian</c:v>
                </c:pt>
                <c:pt idx="24">
                  <c:v>Italian Contemporary</c:v>
                </c:pt>
                <c:pt idx="25">
                  <c:v>Italian Haute Cuisine</c:v>
                </c:pt>
                <c:pt idx="26">
                  <c:v>Japanese Innovative</c:v>
                </c:pt>
                <c:pt idx="27">
                  <c:v>Japanese Kaiseki</c:v>
                </c:pt>
                <c:pt idx="28">
                  <c:v>Japanese-Californian</c:v>
                </c:pt>
                <c:pt idx="29">
                  <c:v>Mediterranean</c:v>
                </c:pt>
                <c:pt idx="30">
                  <c:v>Modern Bbq</c:v>
                </c:pt>
                <c:pt idx="31">
                  <c:v>Molecular Gastronomy</c:v>
                </c:pt>
                <c:pt idx="32">
                  <c:v>New Nordic</c:v>
                </c:pt>
                <c:pt idx="33">
                  <c:v>Nikkei</c:v>
                </c:pt>
                <c:pt idx="34">
                  <c:v>Nordic Contemporary</c:v>
                </c:pt>
                <c:pt idx="35">
                  <c:v>Progressive Indian</c:v>
                </c:pt>
              </c:strCache>
            </c:strRef>
          </c:cat>
          <c:val>
            <c:numRef>
              <c:f>BQ!$B$53:$B$89</c:f>
              <c:numCache>
                <c:formatCode>General</c:formatCode>
                <c:ptCount val="36"/>
                <c:pt idx="0">
                  <c:v>265</c:v>
                </c:pt>
                <c:pt idx="1">
                  <c:v>265</c:v>
                </c:pt>
                <c:pt idx="2">
                  <c:v>570</c:v>
                </c:pt>
                <c:pt idx="3">
                  <c:v>280</c:v>
                </c:pt>
                <c:pt idx="4">
                  <c:v>275</c:v>
                </c:pt>
                <c:pt idx="5">
                  <c:v>210</c:v>
                </c:pt>
                <c:pt idx="6">
                  <c:v>125</c:v>
                </c:pt>
                <c:pt idx="7">
                  <c:v>145</c:v>
                </c:pt>
                <c:pt idx="8">
                  <c:v>125</c:v>
                </c:pt>
                <c:pt idx="9">
                  <c:v>316</c:v>
                </c:pt>
                <c:pt idx="10">
                  <c:v>280</c:v>
                </c:pt>
                <c:pt idx="11">
                  <c:v>345</c:v>
                </c:pt>
                <c:pt idx="12">
                  <c:v>185</c:v>
                </c:pt>
                <c:pt idx="13">
                  <c:v>147.5</c:v>
                </c:pt>
                <c:pt idx="14">
                  <c:v>180</c:v>
                </c:pt>
                <c:pt idx="15">
                  <c:v>220</c:v>
                </c:pt>
                <c:pt idx="16">
                  <c:v>550</c:v>
                </c:pt>
                <c:pt idx="17">
                  <c:v>285</c:v>
                </c:pt>
                <c:pt idx="18">
                  <c:v>317.5</c:v>
                </c:pt>
                <c:pt idx="19">
                  <c:v>238.75</c:v>
                </c:pt>
                <c:pt idx="20">
                  <c:v>385</c:v>
                </c:pt>
                <c:pt idx="21">
                  <c:v>295</c:v>
                </c:pt>
                <c:pt idx="22">
                  <c:v>425</c:v>
                </c:pt>
                <c:pt idx="23">
                  <c:v>300</c:v>
                </c:pt>
                <c:pt idx="24">
                  <c:v>320</c:v>
                </c:pt>
                <c:pt idx="25">
                  <c:v>310</c:v>
                </c:pt>
                <c:pt idx="26">
                  <c:v>275</c:v>
                </c:pt>
                <c:pt idx="27">
                  <c:v>280</c:v>
                </c:pt>
                <c:pt idx="28">
                  <c:v>325</c:v>
                </c:pt>
                <c:pt idx="29">
                  <c:v>290</c:v>
                </c:pt>
                <c:pt idx="30">
                  <c:v>165</c:v>
                </c:pt>
                <c:pt idx="31">
                  <c:v>385</c:v>
                </c:pt>
                <c:pt idx="32">
                  <c:v>435</c:v>
                </c:pt>
                <c:pt idx="33">
                  <c:v>165</c:v>
                </c:pt>
                <c:pt idx="34">
                  <c:v>380</c:v>
                </c:pt>
                <c:pt idx="35">
                  <c:v>195</c:v>
                </c:pt>
              </c:numCache>
            </c:numRef>
          </c:val>
          <c:extLst>
            <c:ext xmlns:c16="http://schemas.microsoft.com/office/drawing/2014/chart" uri="{C3380CC4-5D6E-409C-BE32-E72D297353CC}">
              <c16:uniqueId val="{00000001-5642-4B86-AE8E-9CE74F9B61AD}"/>
            </c:ext>
          </c:extLst>
        </c:ser>
        <c:dLbls>
          <c:showLegendKey val="0"/>
          <c:showVal val="0"/>
          <c:showCatName val="0"/>
          <c:showSerName val="0"/>
          <c:showPercent val="0"/>
          <c:showBubbleSize val="0"/>
        </c:dLbls>
        <c:gapWidth val="182"/>
        <c:axId val="171276592"/>
        <c:axId val="171275632"/>
      </c:barChart>
      <c:catAx>
        <c:axId val="1712765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171275632"/>
        <c:crosses val="autoZero"/>
        <c:auto val="1"/>
        <c:lblAlgn val="ctr"/>
        <c:lblOffset val="100"/>
        <c:noMultiLvlLbl val="0"/>
      </c:catAx>
      <c:valAx>
        <c:axId val="1712756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171276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solidFill>
              <a:latin typeface="+mn-lt"/>
              <a:ea typeface="+mn-ea"/>
              <a:cs typeface="+mn-cs"/>
            </a:defRPr>
          </a:pPr>
          <a:endParaRPr lang="LID4096"/>
        </a:p>
      </c:txPr>
    </c:title>
    <c:autoTitleDeleted val="0"/>
    <c:plotArea>
      <c:layout/>
      <c:scatterChart>
        <c:scatterStyle val="lineMarker"/>
        <c:varyColors val="0"/>
        <c:ser>
          <c:idx val="0"/>
          <c:order val="0"/>
          <c:tx>
            <c:strRef>
              <c:f>BQ!$E$93</c:f>
              <c:strCache>
                <c:ptCount val="1"/>
                <c:pt idx="0">
                  <c:v>Total Michelin Stars</c:v>
                </c:pt>
              </c:strCache>
            </c:strRef>
          </c:tx>
          <c:spPr>
            <a:ln w="25400" cap="rnd">
              <a:noFill/>
              <a:round/>
            </a:ln>
            <a:effectLst/>
          </c:spPr>
          <c:marker>
            <c:symbol val="diamond"/>
            <c:size val="6"/>
            <c:spPr>
              <a:solidFill>
                <a:schemeClr val="accent2"/>
              </a:solidFill>
              <a:ln w="9525">
                <a:solidFill>
                  <a:schemeClr val="accent2"/>
                </a:solidFill>
                <a:round/>
              </a:ln>
              <a:effectLst/>
            </c:spPr>
          </c:marker>
          <c:xVal>
            <c:numRef>
              <c:f>BQ!$D$94:$D$119</c:f>
              <c:numCache>
                <c:formatCode>General</c:formatCode>
                <c:ptCount val="26"/>
                <c:pt idx="0">
                  <c:v>8</c:v>
                </c:pt>
                <c:pt idx="1">
                  <c:v>9</c:v>
                </c:pt>
                <c:pt idx="2">
                  <c:v>10</c:v>
                </c:pt>
                <c:pt idx="3">
                  <c:v>11</c:v>
                </c:pt>
                <c:pt idx="4">
                  <c:v>12</c:v>
                </c:pt>
                <c:pt idx="5">
                  <c:v>13</c:v>
                </c:pt>
                <c:pt idx="6">
                  <c:v>14</c:v>
                </c:pt>
                <c:pt idx="7">
                  <c:v>15</c:v>
                </c:pt>
                <c:pt idx="8">
                  <c:v>16</c:v>
                </c:pt>
                <c:pt idx="9">
                  <c:v>17</c:v>
                </c:pt>
                <c:pt idx="10">
                  <c:v>18</c:v>
                </c:pt>
                <c:pt idx="11">
                  <c:v>19</c:v>
                </c:pt>
                <c:pt idx="12">
                  <c:v>20</c:v>
                </c:pt>
                <c:pt idx="13">
                  <c:v>21</c:v>
                </c:pt>
                <c:pt idx="14">
                  <c:v>22</c:v>
                </c:pt>
                <c:pt idx="15">
                  <c:v>25</c:v>
                </c:pt>
                <c:pt idx="16">
                  <c:v>27</c:v>
                </c:pt>
                <c:pt idx="17">
                  <c:v>30</c:v>
                </c:pt>
                <c:pt idx="18">
                  <c:v>31</c:v>
                </c:pt>
                <c:pt idx="19">
                  <c:v>34</c:v>
                </c:pt>
                <c:pt idx="20">
                  <c:v>35</c:v>
                </c:pt>
                <c:pt idx="21">
                  <c:v>36</c:v>
                </c:pt>
                <c:pt idx="22">
                  <c:v>39</c:v>
                </c:pt>
                <c:pt idx="23">
                  <c:v>44</c:v>
                </c:pt>
                <c:pt idx="24">
                  <c:v>53</c:v>
                </c:pt>
                <c:pt idx="25">
                  <c:v>128</c:v>
                </c:pt>
              </c:numCache>
            </c:numRef>
          </c:xVal>
          <c:yVal>
            <c:numRef>
              <c:f>BQ!$E$94:$E$119</c:f>
              <c:numCache>
                <c:formatCode>General</c:formatCode>
                <c:ptCount val="26"/>
                <c:pt idx="0">
                  <c:v>0</c:v>
                </c:pt>
                <c:pt idx="1">
                  <c:v>2</c:v>
                </c:pt>
                <c:pt idx="2">
                  <c:v>2</c:v>
                </c:pt>
                <c:pt idx="3">
                  <c:v>2</c:v>
                </c:pt>
                <c:pt idx="4">
                  <c:v>2</c:v>
                </c:pt>
                <c:pt idx="5">
                  <c:v>3</c:v>
                </c:pt>
                <c:pt idx="6">
                  <c:v>4</c:v>
                </c:pt>
                <c:pt idx="7">
                  <c:v>7</c:v>
                </c:pt>
                <c:pt idx="8">
                  <c:v>2</c:v>
                </c:pt>
                <c:pt idx="9">
                  <c:v>8</c:v>
                </c:pt>
                <c:pt idx="10">
                  <c:v>5</c:v>
                </c:pt>
                <c:pt idx="11">
                  <c:v>0</c:v>
                </c:pt>
                <c:pt idx="12">
                  <c:v>13</c:v>
                </c:pt>
                <c:pt idx="13">
                  <c:v>0</c:v>
                </c:pt>
                <c:pt idx="14">
                  <c:v>7</c:v>
                </c:pt>
                <c:pt idx="15">
                  <c:v>3</c:v>
                </c:pt>
                <c:pt idx="16">
                  <c:v>5</c:v>
                </c:pt>
                <c:pt idx="17">
                  <c:v>3</c:v>
                </c:pt>
                <c:pt idx="18">
                  <c:v>6</c:v>
                </c:pt>
                <c:pt idx="19">
                  <c:v>3</c:v>
                </c:pt>
                <c:pt idx="20">
                  <c:v>1</c:v>
                </c:pt>
                <c:pt idx="21">
                  <c:v>3</c:v>
                </c:pt>
                <c:pt idx="22">
                  <c:v>6</c:v>
                </c:pt>
                <c:pt idx="23">
                  <c:v>3</c:v>
                </c:pt>
                <c:pt idx="24">
                  <c:v>3</c:v>
                </c:pt>
                <c:pt idx="25">
                  <c:v>3</c:v>
                </c:pt>
              </c:numCache>
            </c:numRef>
          </c:yVal>
          <c:smooth val="0"/>
          <c:extLst>
            <c:ext xmlns:c16="http://schemas.microsoft.com/office/drawing/2014/chart" uri="{C3380CC4-5D6E-409C-BE32-E72D297353CC}">
              <c16:uniqueId val="{00000000-9293-4494-B3B2-6E1BC9F3EDBE}"/>
            </c:ext>
          </c:extLst>
        </c:ser>
        <c:dLbls>
          <c:showLegendKey val="0"/>
          <c:showVal val="0"/>
          <c:showCatName val="0"/>
          <c:showSerName val="0"/>
          <c:showPercent val="0"/>
          <c:showBubbleSize val="0"/>
        </c:dLbls>
        <c:axId val="100782800"/>
        <c:axId val="100780880"/>
      </c:scatterChart>
      <c:valAx>
        <c:axId val="100782800"/>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GB"/>
                  <a:t>Years</a:t>
                </a:r>
                <a:r>
                  <a:rPr lang="en-GB" baseline="0"/>
                  <a:t> Operating</a:t>
                </a:r>
                <a:endParaRPr lang="en-GB"/>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all" spc="120" normalizeH="0" baseline="0">
                <a:solidFill>
                  <a:schemeClr val="tx1">
                    <a:lumMod val="65000"/>
                    <a:lumOff val="35000"/>
                  </a:schemeClr>
                </a:solidFill>
                <a:latin typeface="+mn-lt"/>
                <a:ea typeface="+mn-ea"/>
                <a:cs typeface="+mn-cs"/>
              </a:defRPr>
            </a:pPr>
            <a:endParaRPr lang="LID4096"/>
          </a:p>
        </c:txPr>
        <c:crossAx val="100780880"/>
        <c:crosses val="autoZero"/>
        <c:crossBetween val="midCat"/>
      </c:valAx>
      <c:valAx>
        <c:axId val="1007808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GB"/>
                  <a:t>Total Stars</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10078280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baseline="0">
                <a:solidFill>
                  <a:schemeClr val="tx1"/>
                </a:solidFill>
                <a:latin typeface="+mn-lt"/>
                <a:ea typeface="+mn-ea"/>
                <a:cs typeface="+mn-cs"/>
              </a:defRPr>
            </a:pPr>
            <a:r>
              <a:rPr lang="en-US" sz="1400" b="1" i="0" u="none" strike="noStrike" baseline="0">
                <a:solidFill>
                  <a:schemeClr val="tx1"/>
                </a:solidFill>
                <a:latin typeface="Calisto MT" panose="02040603050505030304"/>
              </a:rPr>
              <a:t>Top Rated Restaurants per Continent </a:t>
            </a:r>
          </a:p>
        </c:rich>
      </c:tx>
      <c:layout>
        <c:manualLayout>
          <c:xMode val="edge"/>
          <c:yMode val="edge"/>
          <c:x val="0.15738048769544832"/>
          <c:y val="2.8901734104046242E-2"/>
        </c:manualLayout>
      </c:layout>
      <c:overlay val="0"/>
      <c:spPr>
        <a:solidFill>
          <a:schemeClr val="bg1"/>
        </a:solidFill>
        <a:ln>
          <a:noFill/>
        </a:ln>
        <a:effectLst/>
      </c:spPr>
      <c:txPr>
        <a:bodyPr rot="0" spcFirstLastPara="1" vertOverflow="ellipsis" vert="horz" wrap="square" anchor="ctr" anchorCtr="1"/>
        <a:lstStyle/>
        <a:p>
          <a:pPr>
            <a:defRPr sz="1400" b="1" i="0" u="none" strike="noStrike" baseline="0">
              <a:solidFill>
                <a:schemeClr val="tx1"/>
              </a:solidFill>
              <a:latin typeface="+mn-lt"/>
              <a:ea typeface="+mn-ea"/>
              <a:cs typeface="+mn-cs"/>
            </a:defRPr>
          </a:pPr>
          <a:endParaRPr lang="LID4096"/>
        </a:p>
      </c:txPr>
    </c:title>
    <c:autoTitleDeleted val="0"/>
    <c:plotArea>
      <c:layout/>
      <c:barChart>
        <c:barDir val="bar"/>
        <c:grouping val="clustered"/>
        <c:varyColors val="0"/>
        <c:ser>
          <c:idx val="0"/>
          <c:order val="0"/>
          <c:spPr>
            <a:solidFill>
              <a:schemeClr val="accent1"/>
            </a:solidFill>
            <a:ln w="3175">
              <a:solidFill>
                <a:schemeClr val="bg1"/>
              </a:solidFill>
            </a:ln>
            <a:effectLst/>
          </c:spPr>
          <c:invertIfNegative val="0"/>
          <c:val>
            <c:numRef>
              <c:f>BQ!#REF!</c:f>
              <c:numCache>
                <c:formatCode>General</c:formatCode>
                <c:ptCount val="1"/>
                <c:pt idx="0">
                  <c:v>1</c:v>
                </c:pt>
              </c:numCache>
            </c:numRef>
          </c:val>
          <c:extLst>
            <c:ext xmlns:c15="http://schemas.microsoft.com/office/drawing/2012/chart" uri="{02D57815-91ED-43cb-92C2-25804820EDAC}">
              <c15:filteredCategoryTitle>
                <c15:cat>
                  <c:strRef>
                    <c:extLst>
                      <c:ext uri="{02D57815-91ED-43cb-92C2-25804820EDAC}">
                        <c15:formulaRef>
                          <c15:sqref>BQ!#REF!</c15:sqref>
                        </c15:formulaRef>
                      </c:ext>
                    </c:extLst>
                  </c:strRef>
                </c15:cat>
              </c15:filteredCategoryTitle>
            </c:ext>
            <c:ext xmlns:c16="http://schemas.microsoft.com/office/drawing/2014/chart" uri="{C3380CC4-5D6E-409C-BE32-E72D297353CC}">
              <c16:uniqueId val="{00000000-4AAC-49F3-A850-EDAEE6658818}"/>
            </c:ext>
          </c:extLst>
        </c:ser>
        <c:dLbls>
          <c:showLegendKey val="0"/>
          <c:showVal val="0"/>
          <c:showCatName val="0"/>
          <c:showSerName val="0"/>
          <c:showPercent val="0"/>
          <c:showBubbleSize val="0"/>
        </c:dLbls>
        <c:gapWidth val="100"/>
        <c:axId val="276546480"/>
        <c:axId val="276548400"/>
      </c:barChart>
      <c:catAx>
        <c:axId val="27654648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baseline="0">
                <a:solidFill>
                  <a:schemeClr val="tx1">
                    <a:lumMod val="65000"/>
                    <a:lumOff val="35000"/>
                  </a:schemeClr>
                </a:solidFill>
                <a:latin typeface="+mn-lt"/>
                <a:ea typeface="+mn-ea"/>
                <a:cs typeface="+mn-cs"/>
              </a:defRPr>
            </a:pPr>
            <a:endParaRPr lang="LID4096"/>
          </a:p>
        </c:txPr>
        <c:crossAx val="276548400"/>
        <c:crosses val="autoZero"/>
        <c:auto val="1"/>
        <c:lblAlgn val="ctr"/>
        <c:lblOffset val="100"/>
        <c:noMultiLvlLbl val="0"/>
      </c:catAx>
      <c:valAx>
        <c:axId val="276548400"/>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baseline="0">
                <a:solidFill>
                  <a:schemeClr val="tx1">
                    <a:lumMod val="65000"/>
                    <a:lumOff val="35000"/>
                  </a:schemeClr>
                </a:solidFill>
                <a:latin typeface="+mn-lt"/>
                <a:ea typeface="+mn-ea"/>
                <a:cs typeface="+mn-cs"/>
              </a:defRPr>
            </a:pPr>
            <a:endParaRPr lang="LID4096"/>
          </a:p>
        </c:txPr>
        <c:crossAx val="276546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1">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24740</xdr:colOff>
      <xdr:row>0</xdr:row>
      <xdr:rowOff>0</xdr:rowOff>
    </xdr:from>
    <xdr:to>
      <xdr:col>2</xdr:col>
      <xdr:colOff>304800</xdr:colOff>
      <xdr:row>29</xdr:row>
      <xdr:rowOff>53340</xdr:rowOff>
    </xdr:to>
    <xdr:sp macro="" textlink="">
      <xdr:nvSpPr>
        <xdr:cNvPr id="2" name="Rectangle 1">
          <a:extLst>
            <a:ext uri="{FF2B5EF4-FFF2-40B4-BE49-F238E27FC236}">
              <a16:creationId xmlns:a16="http://schemas.microsoft.com/office/drawing/2014/main" id="{65FE5A86-7705-279C-7BCD-D63F10ECA216}"/>
            </a:ext>
          </a:extLst>
        </xdr:cNvPr>
        <xdr:cNvSpPr/>
      </xdr:nvSpPr>
      <xdr:spPr>
        <a:xfrm>
          <a:off x="24740" y="0"/>
          <a:ext cx="1743100" cy="5135880"/>
        </a:xfrm>
        <a:prstGeom prst="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200" b="1">
            <a:solidFill>
              <a:schemeClr val="tx1"/>
            </a:solidFill>
            <a:latin typeface="Aptos" panose="020B0004020202020204" pitchFamily="34" charset="0"/>
          </a:endParaRPr>
        </a:p>
      </xdr:txBody>
    </xdr:sp>
    <xdr:clientData/>
  </xdr:twoCellAnchor>
  <xdr:twoCellAnchor>
    <xdr:from>
      <xdr:col>0</xdr:col>
      <xdr:colOff>569488</xdr:colOff>
      <xdr:row>4</xdr:row>
      <xdr:rowOff>66065</xdr:rowOff>
    </xdr:from>
    <xdr:to>
      <xdr:col>1</xdr:col>
      <xdr:colOff>584893</xdr:colOff>
      <xdr:row>7</xdr:row>
      <xdr:rowOff>27965</xdr:rowOff>
    </xdr:to>
    <xdr:sp macro="" textlink="KPIs!D2">
      <xdr:nvSpPr>
        <xdr:cNvPr id="3" name="Rectangle 2">
          <a:extLst>
            <a:ext uri="{FF2B5EF4-FFF2-40B4-BE49-F238E27FC236}">
              <a16:creationId xmlns:a16="http://schemas.microsoft.com/office/drawing/2014/main" id="{FB5EB667-DCEA-AA81-71B3-F43F2017C986}"/>
            </a:ext>
          </a:extLst>
        </xdr:cNvPr>
        <xdr:cNvSpPr/>
      </xdr:nvSpPr>
      <xdr:spPr>
        <a:xfrm>
          <a:off x="569488" y="767105"/>
          <a:ext cx="746925" cy="487680"/>
        </a:xfrm>
        <a:prstGeom prst="rect">
          <a:avLst/>
        </a:prstGeom>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marL="0" indent="0" algn="ctr"/>
          <a:fld id="{099ADAD1-F946-45FD-B57A-AA2A6A7E9B6C}" type="TxLink">
            <a:rPr lang="en-US" sz="2000" b="0" i="0" u="none" strike="noStrike" cap="none" spc="0">
              <a:ln w="0"/>
              <a:solidFill>
                <a:schemeClr val="tx1"/>
              </a:solidFill>
              <a:effectLst>
                <a:outerShdw blurRad="38100" dist="19050" dir="2700000" algn="tl" rotWithShape="0">
                  <a:schemeClr val="dk1">
                    <a:alpha val="40000"/>
                  </a:schemeClr>
                </a:outerShdw>
              </a:effectLst>
              <a:latin typeface="SF Pro Display"/>
              <a:ea typeface="SF Pro Display"/>
              <a:cs typeface="+mn-cs"/>
            </a:rPr>
            <a:pPr marL="0" indent="0" algn="ctr"/>
            <a:t>50</a:t>
          </a:fld>
          <a:endParaRPr lang="LID4096" sz="2000" b="0" i="0" u="none" strike="noStrike" cap="none" spc="0">
            <a:ln w="0"/>
            <a:solidFill>
              <a:schemeClr val="tx1"/>
            </a:solidFill>
            <a:effectLst>
              <a:outerShdw blurRad="38100" dist="19050" dir="2700000" algn="tl" rotWithShape="0">
                <a:schemeClr val="dk1">
                  <a:alpha val="40000"/>
                </a:schemeClr>
              </a:outerShdw>
            </a:effectLst>
            <a:latin typeface="SF Pro Display"/>
            <a:ea typeface="SF Pro Display"/>
            <a:cs typeface="+mn-cs"/>
          </a:endParaRPr>
        </a:p>
      </xdr:txBody>
    </xdr:sp>
    <xdr:clientData/>
  </xdr:twoCellAnchor>
  <xdr:oneCellAnchor>
    <xdr:from>
      <xdr:col>0</xdr:col>
      <xdr:colOff>24943</xdr:colOff>
      <xdr:row>8</xdr:row>
      <xdr:rowOff>49234</xdr:rowOff>
    </xdr:from>
    <xdr:ext cx="1836015" cy="311496"/>
    <xdr:sp macro="" textlink="">
      <xdr:nvSpPr>
        <xdr:cNvPr id="7" name="TextBox 6">
          <a:extLst>
            <a:ext uri="{FF2B5EF4-FFF2-40B4-BE49-F238E27FC236}">
              <a16:creationId xmlns:a16="http://schemas.microsoft.com/office/drawing/2014/main" id="{CE97AFE0-6B2A-E34A-6833-09D9EBDD792D}"/>
            </a:ext>
          </a:extLst>
        </xdr:cNvPr>
        <xdr:cNvSpPr txBox="1"/>
      </xdr:nvSpPr>
      <xdr:spPr>
        <a:xfrm>
          <a:off x="24943" y="1451314"/>
          <a:ext cx="1836015"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400" b="1" i="0" u="none" strike="noStrike">
              <a:solidFill>
                <a:schemeClr val="bg1"/>
              </a:solidFill>
              <a:effectLst/>
              <a:latin typeface="Aptos" panose="020B0004020202020204" pitchFamily="34" charset="0"/>
              <a:ea typeface="+mn-ea"/>
              <a:cs typeface="+mn-cs"/>
            </a:rPr>
            <a:t>Total Michelin Stars</a:t>
          </a:r>
          <a:r>
            <a:rPr lang="en-GB" sz="1400" b="1">
              <a:solidFill>
                <a:schemeClr val="bg1"/>
              </a:solidFill>
              <a:effectLst/>
              <a:latin typeface="Aptos" panose="020B0004020202020204" pitchFamily="34" charset="0"/>
            </a:rPr>
            <a:t> </a:t>
          </a:r>
          <a:endParaRPr lang="LID4096" sz="1400" b="1">
            <a:solidFill>
              <a:schemeClr val="bg1"/>
            </a:solidFill>
            <a:latin typeface="Aptos" panose="020B0004020202020204" pitchFamily="34" charset="0"/>
          </a:endParaRPr>
        </a:p>
      </xdr:txBody>
    </xdr:sp>
    <xdr:clientData/>
  </xdr:oneCellAnchor>
  <xdr:oneCellAnchor>
    <xdr:from>
      <xdr:col>0</xdr:col>
      <xdr:colOff>225510</xdr:colOff>
      <xdr:row>15</xdr:row>
      <xdr:rowOff>14648</xdr:rowOff>
    </xdr:from>
    <xdr:ext cx="1434880" cy="311496"/>
    <xdr:sp macro="" textlink="">
      <xdr:nvSpPr>
        <xdr:cNvPr id="8" name="TextBox 7">
          <a:extLst>
            <a:ext uri="{FF2B5EF4-FFF2-40B4-BE49-F238E27FC236}">
              <a16:creationId xmlns:a16="http://schemas.microsoft.com/office/drawing/2014/main" id="{72A0847C-912B-57E4-F7D9-BDDCE8B90DBA}"/>
            </a:ext>
          </a:extLst>
        </xdr:cNvPr>
        <xdr:cNvSpPr txBox="1"/>
      </xdr:nvSpPr>
      <xdr:spPr>
        <a:xfrm>
          <a:off x="225510" y="2643548"/>
          <a:ext cx="1434880"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400" b="1" i="0" u="none" strike="noStrike">
              <a:solidFill>
                <a:schemeClr val="bg1"/>
              </a:solidFill>
              <a:effectLst/>
              <a:latin typeface="Aptos" panose="020B0004020202020204" pitchFamily="34" charset="0"/>
              <a:ea typeface="+mn-ea"/>
              <a:cs typeface="+mn-cs"/>
            </a:rPr>
            <a:t>Average Rating</a:t>
          </a:r>
          <a:r>
            <a:rPr lang="en-GB" sz="1400" b="1">
              <a:solidFill>
                <a:schemeClr val="bg1"/>
              </a:solidFill>
              <a:effectLst/>
              <a:latin typeface="Aptos" panose="020B0004020202020204" pitchFamily="34" charset="0"/>
            </a:rPr>
            <a:t> </a:t>
          </a:r>
          <a:endParaRPr lang="LID4096" sz="1400" b="1">
            <a:solidFill>
              <a:schemeClr val="bg1"/>
            </a:solidFill>
            <a:latin typeface="Aptos" panose="020B0004020202020204" pitchFamily="34" charset="0"/>
          </a:endParaRPr>
        </a:p>
      </xdr:txBody>
    </xdr:sp>
    <xdr:clientData/>
  </xdr:oneCellAnchor>
  <xdr:oneCellAnchor>
    <xdr:from>
      <xdr:col>0</xdr:col>
      <xdr:colOff>0</xdr:colOff>
      <xdr:row>21</xdr:row>
      <xdr:rowOff>155322</xdr:rowOff>
    </xdr:from>
    <xdr:ext cx="1885901" cy="295850"/>
    <xdr:sp macro="" textlink="">
      <xdr:nvSpPr>
        <xdr:cNvPr id="9" name="TextBox 8">
          <a:extLst>
            <a:ext uri="{FF2B5EF4-FFF2-40B4-BE49-F238E27FC236}">
              <a16:creationId xmlns:a16="http://schemas.microsoft.com/office/drawing/2014/main" id="{E55D6109-AC99-0DB9-FE13-1D3EC056628D}"/>
            </a:ext>
          </a:extLst>
        </xdr:cNvPr>
        <xdr:cNvSpPr txBox="1"/>
      </xdr:nvSpPr>
      <xdr:spPr>
        <a:xfrm>
          <a:off x="0" y="3835782"/>
          <a:ext cx="1885901" cy="2958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300" b="1" i="0" u="none" strike="noStrike">
              <a:solidFill>
                <a:schemeClr val="bg1"/>
              </a:solidFill>
              <a:effectLst/>
              <a:latin typeface="Aptos" panose="020B0004020202020204" pitchFamily="34" charset="0"/>
              <a:ea typeface="+mn-ea"/>
              <a:cs typeface="+mn-cs"/>
            </a:rPr>
            <a:t>Average Price per Star</a:t>
          </a:r>
          <a:r>
            <a:rPr lang="en-GB" sz="1300" b="1">
              <a:solidFill>
                <a:schemeClr val="bg1"/>
              </a:solidFill>
              <a:effectLst/>
              <a:latin typeface="Aptos" panose="020B0004020202020204" pitchFamily="34" charset="0"/>
            </a:rPr>
            <a:t> </a:t>
          </a:r>
          <a:endParaRPr lang="LID4096" sz="1300" b="1">
            <a:solidFill>
              <a:schemeClr val="bg1"/>
            </a:solidFill>
            <a:latin typeface="Aptos" panose="020B0004020202020204" pitchFamily="34" charset="0"/>
          </a:endParaRPr>
        </a:p>
      </xdr:txBody>
    </xdr:sp>
    <xdr:clientData/>
  </xdr:oneCellAnchor>
  <xdr:twoCellAnchor>
    <xdr:from>
      <xdr:col>0</xdr:col>
      <xdr:colOff>565843</xdr:colOff>
      <xdr:row>11</xdr:row>
      <xdr:rowOff>31479</xdr:rowOff>
    </xdr:from>
    <xdr:to>
      <xdr:col>1</xdr:col>
      <xdr:colOff>588538</xdr:colOff>
      <xdr:row>13</xdr:row>
      <xdr:rowOff>168639</xdr:rowOff>
    </xdr:to>
    <xdr:sp macro="" textlink="KPIs!D5">
      <xdr:nvSpPr>
        <xdr:cNvPr id="10" name="Rectangle 9">
          <a:extLst>
            <a:ext uri="{FF2B5EF4-FFF2-40B4-BE49-F238E27FC236}">
              <a16:creationId xmlns:a16="http://schemas.microsoft.com/office/drawing/2014/main" id="{267CB327-36EA-42E8-A3C1-73B7ED3AED21}"/>
            </a:ext>
          </a:extLst>
        </xdr:cNvPr>
        <xdr:cNvSpPr/>
      </xdr:nvSpPr>
      <xdr:spPr>
        <a:xfrm>
          <a:off x="565843" y="1959339"/>
          <a:ext cx="754215" cy="487680"/>
        </a:xfrm>
        <a:prstGeom prst="rect">
          <a:avLst/>
        </a:prstGeom>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marL="0" indent="0" algn="ctr"/>
          <a:fld id="{F6264C12-A433-42A0-A574-458108E3433A}" type="TxLink">
            <a:rPr lang="en-US" sz="2000" b="0" i="0" u="none" strike="noStrike" cap="none" spc="0">
              <a:ln w="0"/>
              <a:solidFill>
                <a:srgbClr val="000000"/>
              </a:solidFill>
              <a:effectLst>
                <a:outerShdw blurRad="38100" dist="19050" dir="2700000" algn="tl" rotWithShape="0">
                  <a:schemeClr val="dk1">
                    <a:alpha val="40000"/>
                  </a:schemeClr>
                </a:outerShdw>
              </a:effectLst>
              <a:latin typeface="SF Pro Display"/>
              <a:ea typeface="SF Pro Display"/>
              <a:cs typeface="+mn-cs"/>
            </a:rPr>
            <a:t>96</a:t>
          </a:fld>
          <a:endParaRPr lang="LID4096" sz="4000" b="0" i="0" u="none" strike="noStrike" cap="none" spc="0">
            <a:ln w="0"/>
            <a:solidFill>
              <a:schemeClr val="tx1"/>
            </a:solidFill>
            <a:effectLst>
              <a:outerShdw blurRad="38100" dist="19050" dir="2700000" algn="tl" rotWithShape="0">
                <a:schemeClr val="dk1">
                  <a:alpha val="40000"/>
                </a:schemeClr>
              </a:outerShdw>
            </a:effectLst>
            <a:latin typeface="SF Pro Display"/>
            <a:ea typeface="SF Pro Display"/>
            <a:cs typeface="+mn-cs"/>
          </a:endParaRPr>
        </a:p>
      </xdr:txBody>
    </xdr:sp>
    <xdr:clientData/>
  </xdr:twoCellAnchor>
  <xdr:twoCellAnchor>
    <xdr:from>
      <xdr:col>0</xdr:col>
      <xdr:colOff>565843</xdr:colOff>
      <xdr:row>17</xdr:row>
      <xdr:rowOff>172153</xdr:rowOff>
    </xdr:from>
    <xdr:to>
      <xdr:col>1</xdr:col>
      <xdr:colOff>588538</xdr:colOff>
      <xdr:row>20</xdr:row>
      <xdr:rowOff>134053</xdr:rowOff>
    </xdr:to>
    <xdr:sp macro="" textlink="KPIs!D8">
      <xdr:nvSpPr>
        <xdr:cNvPr id="11" name="Rectangle 10">
          <a:extLst>
            <a:ext uri="{FF2B5EF4-FFF2-40B4-BE49-F238E27FC236}">
              <a16:creationId xmlns:a16="http://schemas.microsoft.com/office/drawing/2014/main" id="{48BCCB40-6D16-4461-9714-2EDC36CA81F1}"/>
            </a:ext>
          </a:extLst>
        </xdr:cNvPr>
        <xdr:cNvSpPr/>
      </xdr:nvSpPr>
      <xdr:spPr>
        <a:xfrm>
          <a:off x="565843" y="3151573"/>
          <a:ext cx="754215" cy="487680"/>
        </a:xfrm>
        <a:prstGeom prst="rect">
          <a:avLst/>
        </a:prstGeom>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fld id="{490DA9E6-F7DF-4180-9D04-1B8C693B6B5A}" type="TxLink">
            <a:rPr lang="en-US" sz="2000" b="0" i="0" u="none" strike="noStrike" cap="none" spc="0">
              <a:ln w="0"/>
              <a:solidFill>
                <a:srgbClr val="000000"/>
              </a:solidFill>
              <a:effectLst>
                <a:outerShdw blurRad="38100" dist="19050" dir="2700000" algn="tl" rotWithShape="0">
                  <a:schemeClr val="dk1">
                    <a:alpha val="40000"/>
                  </a:schemeClr>
                </a:outerShdw>
              </a:effectLst>
              <a:latin typeface="SF Pro Display"/>
              <a:ea typeface="SF Pro Display"/>
            </a:rPr>
            <a:t>4.7</a:t>
          </a:fld>
          <a:endParaRPr lang="LID4096" sz="40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0</xdr:col>
      <xdr:colOff>409551</xdr:colOff>
      <xdr:row>24</xdr:row>
      <xdr:rowOff>121920</xdr:rowOff>
    </xdr:from>
    <xdr:to>
      <xdr:col>2</xdr:col>
      <xdr:colOff>13310</xdr:colOff>
      <xdr:row>27</xdr:row>
      <xdr:rowOff>83820</xdr:rowOff>
    </xdr:to>
    <xdr:sp macro="" textlink="KPIs!D11">
      <xdr:nvSpPr>
        <xdr:cNvPr id="12" name="Rectangle 11">
          <a:extLst>
            <a:ext uri="{FF2B5EF4-FFF2-40B4-BE49-F238E27FC236}">
              <a16:creationId xmlns:a16="http://schemas.microsoft.com/office/drawing/2014/main" id="{AD1428A9-839D-4F6B-BBE0-AAFF231888FF}"/>
            </a:ext>
          </a:extLst>
        </xdr:cNvPr>
        <xdr:cNvSpPr/>
      </xdr:nvSpPr>
      <xdr:spPr>
        <a:xfrm>
          <a:off x="409551" y="4328160"/>
          <a:ext cx="1066799" cy="487680"/>
        </a:xfrm>
        <a:prstGeom prst="rect">
          <a:avLst/>
        </a:prstGeom>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fld id="{96D643E2-C902-49C1-A9C3-8416A11A3995}" type="TxLink">
            <a:rPr lang="en-US" sz="1600" b="0" i="0" u="none" strike="noStrike" cap="none" spc="0">
              <a:ln w="0"/>
              <a:solidFill>
                <a:srgbClr val="000000"/>
              </a:solidFill>
              <a:effectLst>
                <a:outerShdw blurRad="38100" dist="19050" dir="2700000" algn="tl" rotWithShape="0">
                  <a:schemeClr val="dk1">
                    <a:alpha val="40000"/>
                  </a:schemeClr>
                </a:outerShdw>
              </a:effectLst>
              <a:latin typeface="SF Pro Display"/>
              <a:ea typeface="SF Pro Display"/>
            </a:rPr>
            <a:t>$146.39</a:t>
          </a:fld>
          <a:endParaRPr lang="LID4096" sz="3200" b="0" cap="none" spc="0">
            <a:ln w="0"/>
            <a:solidFill>
              <a:schemeClr val="tx1"/>
            </a:solidFill>
            <a:effectLst>
              <a:outerShdw blurRad="38100" dist="19050" dir="2700000" algn="tl" rotWithShape="0">
                <a:schemeClr val="dk1">
                  <a:alpha val="40000"/>
                </a:schemeClr>
              </a:outerShdw>
            </a:effectLst>
          </a:endParaRPr>
        </a:p>
      </xdr:txBody>
    </xdr:sp>
    <xdr:clientData/>
  </xdr:twoCellAnchor>
  <xdr:oneCellAnchor>
    <xdr:from>
      <xdr:col>0</xdr:col>
      <xdr:colOff>109709</xdr:colOff>
      <xdr:row>1</xdr:row>
      <xdr:rowOff>83820</xdr:rowOff>
    </xdr:from>
    <xdr:ext cx="1666482" cy="311496"/>
    <xdr:sp macro="" textlink="">
      <xdr:nvSpPr>
        <xdr:cNvPr id="13" name="TextBox 12">
          <a:extLst>
            <a:ext uri="{FF2B5EF4-FFF2-40B4-BE49-F238E27FC236}">
              <a16:creationId xmlns:a16="http://schemas.microsoft.com/office/drawing/2014/main" id="{5E9F6527-BA4D-4A42-707D-58958896C9E4}"/>
            </a:ext>
          </a:extLst>
        </xdr:cNvPr>
        <xdr:cNvSpPr txBox="1"/>
      </xdr:nvSpPr>
      <xdr:spPr>
        <a:xfrm>
          <a:off x="109709" y="259080"/>
          <a:ext cx="1666482"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400" b="1" i="0" u="none" strike="noStrike">
              <a:solidFill>
                <a:schemeClr val="bg1"/>
              </a:solidFill>
              <a:effectLst/>
              <a:latin typeface="Aptos" panose="020B0004020202020204" pitchFamily="34" charset="0"/>
              <a:ea typeface="+mn-ea"/>
              <a:cs typeface="+mn-cs"/>
            </a:rPr>
            <a:t>Total Restaurants</a:t>
          </a:r>
          <a:r>
            <a:rPr lang="en-GB" sz="1400" b="1">
              <a:solidFill>
                <a:schemeClr val="bg1"/>
              </a:solidFill>
              <a:effectLst/>
              <a:latin typeface="Aptos" panose="020B0004020202020204" pitchFamily="34" charset="0"/>
            </a:rPr>
            <a:t> </a:t>
          </a:r>
          <a:endParaRPr lang="LID4096" sz="1400" b="1">
            <a:solidFill>
              <a:schemeClr val="bg1"/>
            </a:solidFill>
            <a:latin typeface="Aptos" panose="020B0004020202020204" pitchFamily="34" charset="0"/>
          </a:endParaRPr>
        </a:p>
      </xdr:txBody>
    </xdr:sp>
    <xdr:clientData/>
  </xdr:oneCellAnchor>
  <xdr:twoCellAnchor>
    <xdr:from>
      <xdr:col>2</xdr:col>
      <xdr:colOff>335280</xdr:colOff>
      <xdr:row>0</xdr:row>
      <xdr:rowOff>15240</xdr:rowOff>
    </xdr:from>
    <xdr:to>
      <xdr:col>19</xdr:col>
      <xdr:colOff>411480</xdr:colOff>
      <xdr:row>29</xdr:row>
      <xdr:rowOff>53340</xdr:rowOff>
    </xdr:to>
    <xdr:sp macro="" textlink="">
      <xdr:nvSpPr>
        <xdr:cNvPr id="15" name="Rectangle 14">
          <a:extLst>
            <a:ext uri="{FF2B5EF4-FFF2-40B4-BE49-F238E27FC236}">
              <a16:creationId xmlns:a16="http://schemas.microsoft.com/office/drawing/2014/main" id="{CD0C8376-490A-74B1-DF56-5A8737ABDA81}"/>
            </a:ext>
          </a:extLst>
        </xdr:cNvPr>
        <xdr:cNvSpPr/>
      </xdr:nvSpPr>
      <xdr:spPr>
        <a:xfrm>
          <a:off x="1798320" y="15240"/>
          <a:ext cx="12512040" cy="51206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LID4096" sz="1100"/>
        </a:p>
      </xdr:txBody>
    </xdr:sp>
    <xdr:clientData/>
  </xdr:twoCellAnchor>
  <xdr:twoCellAnchor>
    <xdr:from>
      <xdr:col>2</xdr:col>
      <xdr:colOff>327661</xdr:colOff>
      <xdr:row>0</xdr:row>
      <xdr:rowOff>0</xdr:rowOff>
    </xdr:from>
    <xdr:to>
      <xdr:col>6</xdr:col>
      <xdr:colOff>601981</xdr:colOff>
      <xdr:row>14</xdr:row>
      <xdr:rowOff>91440</xdr:rowOff>
    </xdr:to>
    <xdr:graphicFrame macro="">
      <xdr:nvGraphicFramePr>
        <xdr:cNvPr id="16" name="Chart 15">
          <a:extLst>
            <a:ext uri="{FF2B5EF4-FFF2-40B4-BE49-F238E27FC236}">
              <a16:creationId xmlns:a16="http://schemas.microsoft.com/office/drawing/2014/main" id="{C083CFBC-4DE6-4122-BF11-42DCADD128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327660</xdr:colOff>
      <xdr:row>14</xdr:row>
      <xdr:rowOff>91440</xdr:rowOff>
    </xdr:from>
    <xdr:to>
      <xdr:col>10</xdr:col>
      <xdr:colOff>99060</xdr:colOff>
      <xdr:row>28</xdr:row>
      <xdr:rowOff>128451</xdr:rowOff>
    </xdr:to>
    <xdr:graphicFrame macro="">
      <xdr:nvGraphicFramePr>
        <xdr:cNvPr id="17" name="Chart 16">
          <a:extLst>
            <a:ext uri="{FF2B5EF4-FFF2-40B4-BE49-F238E27FC236}">
              <a16:creationId xmlns:a16="http://schemas.microsoft.com/office/drawing/2014/main" id="{00B06813-3922-4541-92E4-348F8D6E54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495300</xdr:colOff>
      <xdr:row>0</xdr:row>
      <xdr:rowOff>0</xdr:rowOff>
    </xdr:from>
    <xdr:to>
      <xdr:col>17</xdr:col>
      <xdr:colOff>198120</xdr:colOff>
      <xdr:row>14</xdr:row>
      <xdr:rowOff>99060</xdr:rowOff>
    </xdr:to>
    <xdr:graphicFrame macro="">
      <xdr:nvGraphicFramePr>
        <xdr:cNvPr id="18" name="Chart 17">
          <a:extLst>
            <a:ext uri="{FF2B5EF4-FFF2-40B4-BE49-F238E27FC236}">
              <a16:creationId xmlns:a16="http://schemas.microsoft.com/office/drawing/2014/main" id="{A9141605-EA90-486C-B25C-7184F78EB3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99060</xdr:colOff>
      <xdr:row>14</xdr:row>
      <xdr:rowOff>91440</xdr:rowOff>
    </xdr:from>
    <xdr:to>
      <xdr:col>17</xdr:col>
      <xdr:colOff>198120</xdr:colOff>
      <xdr:row>28</xdr:row>
      <xdr:rowOff>137160</xdr:rowOff>
    </xdr:to>
    <xdr:graphicFrame macro="">
      <xdr:nvGraphicFramePr>
        <xdr:cNvPr id="19" name="Chart 18">
          <a:extLst>
            <a:ext uri="{FF2B5EF4-FFF2-40B4-BE49-F238E27FC236}">
              <a16:creationId xmlns:a16="http://schemas.microsoft.com/office/drawing/2014/main" id="{245CFE62-ABF5-4D6A-8187-F3A7F5E906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601980</xdr:colOff>
      <xdr:row>0</xdr:row>
      <xdr:rowOff>0</xdr:rowOff>
    </xdr:from>
    <xdr:to>
      <xdr:col>11</xdr:col>
      <xdr:colOff>510540</xdr:colOff>
      <xdr:row>14</xdr:row>
      <xdr:rowOff>99060</xdr:rowOff>
    </xdr:to>
    <xdr:graphicFrame macro="">
      <xdr:nvGraphicFramePr>
        <xdr:cNvPr id="20" name="Chart 19">
          <a:extLst>
            <a:ext uri="{FF2B5EF4-FFF2-40B4-BE49-F238E27FC236}">
              <a16:creationId xmlns:a16="http://schemas.microsoft.com/office/drawing/2014/main" id="{A7EA24DF-2659-41E5-8D5E-1BFBCFFD53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17</xdr:col>
      <xdr:colOff>198120</xdr:colOff>
      <xdr:row>0</xdr:row>
      <xdr:rowOff>0</xdr:rowOff>
    </xdr:from>
    <xdr:to>
      <xdr:col>19</xdr:col>
      <xdr:colOff>228600</xdr:colOff>
      <xdr:row>9</xdr:row>
      <xdr:rowOff>106680</xdr:rowOff>
    </xdr:to>
    <mc:AlternateContent xmlns:mc="http://schemas.openxmlformats.org/markup-compatibility/2006">
      <mc:Choice xmlns:a14="http://schemas.microsoft.com/office/drawing/2010/main" Requires="a14">
        <xdr:graphicFrame macro="">
          <xdr:nvGraphicFramePr>
            <xdr:cNvPr id="21" name="Continent">
              <a:extLst>
                <a:ext uri="{FF2B5EF4-FFF2-40B4-BE49-F238E27FC236}">
                  <a16:creationId xmlns:a16="http://schemas.microsoft.com/office/drawing/2014/main" id="{24894814-E427-44C6-A0A5-C2A435F1B294}"/>
                </a:ext>
              </a:extLst>
            </xdr:cNvPr>
            <xdr:cNvGraphicFramePr/>
          </xdr:nvGraphicFramePr>
          <xdr:xfrm>
            <a:off x="0" y="0"/>
            <a:ext cx="0" cy="0"/>
          </xdr:xfrm>
          <a:graphic>
            <a:graphicData uri="http://schemas.microsoft.com/office/drawing/2010/slicer">
              <sle:slicer xmlns:sle="http://schemas.microsoft.com/office/drawing/2010/slicer" name="Continent"/>
            </a:graphicData>
          </a:graphic>
        </xdr:graphicFrame>
      </mc:Choice>
      <mc:Fallback>
        <xdr:sp macro="" textlink="">
          <xdr:nvSpPr>
            <xdr:cNvPr id="0" name=""/>
            <xdr:cNvSpPr>
              <a:spLocks noTextEdit="1"/>
            </xdr:cNvSpPr>
          </xdr:nvSpPr>
          <xdr:spPr>
            <a:xfrm>
              <a:off x="12633960" y="0"/>
              <a:ext cx="1493520" cy="1684020"/>
            </a:xfrm>
            <a:prstGeom prst="rect">
              <a:avLst/>
            </a:prstGeom>
            <a:solidFill>
              <a:prstClr val="white"/>
            </a:solidFill>
            <a:ln w="1">
              <a:solidFill>
                <a:prstClr val="green"/>
              </a:solidFill>
            </a:ln>
          </xdr:spPr>
          <xdr:txBody>
            <a:bodyPr vertOverflow="clip" horzOverflow="clip"/>
            <a:lstStyle/>
            <a:p>
              <a:r>
                <a:rPr lang="LID4096"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205740</xdr:colOff>
      <xdr:row>20</xdr:row>
      <xdr:rowOff>76201</xdr:rowOff>
    </xdr:from>
    <xdr:to>
      <xdr:col>19</xdr:col>
      <xdr:colOff>236220</xdr:colOff>
      <xdr:row>28</xdr:row>
      <xdr:rowOff>129541</xdr:rowOff>
    </xdr:to>
    <mc:AlternateContent xmlns:mc="http://schemas.openxmlformats.org/markup-compatibility/2006">
      <mc:Choice xmlns:a14="http://schemas.microsoft.com/office/drawing/2010/main" Requires="a14">
        <xdr:graphicFrame macro="">
          <xdr:nvGraphicFramePr>
            <xdr:cNvPr id="22" name="Price_Category">
              <a:extLst>
                <a:ext uri="{FF2B5EF4-FFF2-40B4-BE49-F238E27FC236}">
                  <a16:creationId xmlns:a16="http://schemas.microsoft.com/office/drawing/2014/main" id="{3DAAF899-A1D6-4AB5-A986-7F9FBBAB4F2E}"/>
                </a:ext>
              </a:extLst>
            </xdr:cNvPr>
            <xdr:cNvGraphicFramePr/>
          </xdr:nvGraphicFramePr>
          <xdr:xfrm>
            <a:off x="0" y="0"/>
            <a:ext cx="0" cy="0"/>
          </xdr:xfrm>
          <a:graphic>
            <a:graphicData uri="http://schemas.microsoft.com/office/drawing/2010/slicer">
              <sle:slicer xmlns:sle="http://schemas.microsoft.com/office/drawing/2010/slicer" name="Price_Category"/>
            </a:graphicData>
          </a:graphic>
        </xdr:graphicFrame>
      </mc:Choice>
      <mc:Fallback>
        <xdr:sp macro="" textlink="">
          <xdr:nvSpPr>
            <xdr:cNvPr id="0" name=""/>
            <xdr:cNvSpPr>
              <a:spLocks noTextEdit="1"/>
            </xdr:cNvSpPr>
          </xdr:nvSpPr>
          <xdr:spPr>
            <a:xfrm>
              <a:off x="12641580" y="3581401"/>
              <a:ext cx="1493520" cy="1455420"/>
            </a:xfrm>
            <a:prstGeom prst="rect">
              <a:avLst/>
            </a:prstGeom>
            <a:solidFill>
              <a:prstClr val="white"/>
            </a:solidFill>
            <a:ln w="1">
              <a:solidFill>
                <a:prstClr val="green"/>
              </a:solidFill>
            </a:ln>
          </xdr:spPr>
          <xdr:txBody>
            <a:bodyPr vertOverflow="clip" horzOverflow="clip"/>
            <a:lstStyle/>
            <a:p>
              <a:r>
                <a:rPr lang="LID4096"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205740</xdr:colOff>
      <xdr:row>9</xdr:row>
      <xdr:rowOff>114300</xdr:rowOff>
    </xdr:from>
    <xdr:to>
      <xdr:col>19</xdr:col>
      <xdr:colOff>236220</xdr:colOff>
      <xdr:row>20</xdr:row>
      <xdr:rowOff>60960</xdr:rowOff>
    </xdr:to>
    <mc:AlternateContent xmlns:mc="http://schemas.openxmlformats.org/markup-compatibility/2006">
      <mc:Choice xmlns:a14="http://schemas.microsoft.com/office/drawing/2010/main" Requires="a14">
        <xdr:graphicFrame macro="">
          <xdr:nvGraphicFramePr>
            <xdr:cNvPr id="23" name="Rating 1">
              <a:extLst>
                <a:ext uri="{FF2B5EF4-FFF2-40B4-BE49-F238E27FC236}">
                  <a16:creationId xmlns:a16="http://schemas.microsoft.com/office/drawing/2014/main" id="{BC41746A-E243-4219-8C07-937214AD2ACD}"/>
                </a:ext>
              </a:extLst>
            </xdr:cNvPr>
            <xdr:cNvGraphicFramePr/>
          </xdr:nvGraphicFramePr>
          <xdr:xfrm>
            <a:off x="0" y="0"/>
            <a:ext cx="0" cy="0"/>
          </xdr:xfrm>
          <a:graphic>
            <a:graphicData uri="http://schemas.microsoft.com/office/drawing/2010/slicer">
              <sle:slicer xmlns:sle="http://schemas.microsoft.com/office/drawing/2010/slicer" name="Rating 1"/>
            </a:graphicData>
          </a:graphic>
        </xdr:graphicFrame>
      </mc:Choice>
      <mc:Fallback>
        <xdr:sp macro="" textlink="">
          <xdr:nvSpPr>
            <xdr:cNvPr id="0" name=""/>
            <xdr:cNvSpPr>
              <a:spLocks noTextEdit="1"/>
            </xdr:cNvSpPr>
          </xdr:nvSpPr>
          <xdr:spPr>
            <a:xfrm>
              <a:off x="12641580" y="1691640"/>
              <a:ext cx="1493520" cy="1874520"/>
            </a:xfrm>
            <a:prstGeom prst="rect">
              <a:avLst/>
            </a:prstGeom>
            <a:solidFill>
              <a:prstClr val="white"/>
            </a:solidFill>
            <a:ln w="1">
              <a:solidFill>
                <a:prstClr val="green"/>
              </a:solidFill>
            </a:ln>
          </xdr:spPr>
          <xdr:txBody>
            <a:bodyPr vertOverflow="clip" horzOverflow="clip"/>
            <a:lstStyle/>
            <a:p>
              <a:r>
                <a:rPr lang="LID4096"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433252</xdr:colOff>
      <xdr:row>75</xdr:row>
      <xdr:rowOff>168730</xdr:rowOff>
    </xdr:from>
    <xdr:to>
      <xdr:col>10</xdr:col>
      <xdr:colOff>74023</xdr:colOff>
      <xdr:row>86</xdr:row>
      <xdr:rowOff>119744</xdr:rowOff>
    </xdr:to>
    <mc:AlternateContent xmlns:mc="http://schemas.openxmlformats.org/markup-compatibility/2006">
      <mc:Choice xmlns:a14="http://schemas.microsoft.com/office/drawing/2010/main" Requires="a14">
        <xdr:graphicFrame macro="">
          <xdr:nvGraphicFramePr>
            <xdr:cNvPr id="10" name="Rating">
              <a:extLst>
                <a:ext uri="{FF2B5EF4-FFF2-40B4-BE49-F238E27FC236}">
                  <a16:creationId xmlns:a16="http://schemas.microsoft.com/office/drawing/2014/main" id="{A7D2DD3B-0843-7FE2-60D3-A1EA34735D5F}"/>
                </a:ext>
              </a:extLst>
            </xdr:cNvPr>
            <xdr:cNvGraphicFramePr/>
          </xdr:nvGraphicFramePr>
          <xdr:xfrm>
            <a:off x="0" y="0"/>
            <a:ext cx="0" cy="0"/>
          </xdr:xfrm>
          <a:graphic>
            <a:graphicData uri="http://schemas.microsoft.com/office/drawing/2010/slicer">
              <sle:slicer xmlns:sle="http://schemas.microsoft.com/office/drawing/2010/slicer" name="Rating"/>
            </a:graphicData>
          </a:graphic>
        </xdr:graphicFrame>
      </mc:Choice>
      <mc:Fallback>
        <xdr:sp macro="" textlink="">
          <xdr:nvSpPr>
            <xdr:cNvPr id="0" name=""/>
            <xdr:cNvSpPr>
              <a:spLocks noTextEdit="1"/>
            </xdr:cNvSpPr>
          </xdr:nvSpPr>
          <xdr:spPr>
            <a:xfrm>
              <a:off x="6823166" y="13231587"/>
              <a:ext cx="1828800" cy="1866900"/>
            </a:xfrm>
            <a:prstGeom prst="rect">
              <a:avLst/>
            </a:prstGeom>
            <a:solidFill>
              <a:prstClr val="white"/>
            </a:solidFill>
            <a:ln w="1">
              <a:solidFill>
                <a:prstClr val="green"/>
              </a:solidFill>
            </a:ln>
          </xdr:spPr>
          <xdr:txBody>
            <a:bodyPr vertOverflow="clip" horzOverflow="clip"/>
            <a:lstStyle/>
            <a:p>
              <a:r>
                <a:rPr lang="LID4096"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izan Ahmed Khan" refreshedDate="45985.857045138888" backgroundQuery="1" createdVersion="8" refreshedVersion="8" minRefreshableVersion="3" recordCount="0" supportSubquery="1" supportAdvancedDrill="1" xr:uid="{27301BE3-93F1-48AA-8F30-0C249BE1446E}">
  <cacheSource type="external" connectionId="2"/>
  <cacheFields count="3">
    <cacheField name="[cleaned].[Cuisine_Type].[Cuisine_Type]" caption="Cuisine_Type" numFmtId="0" hierarchy="4" level="1">
      <sharedItems count="36">
        <s v="Asian Fusion"/>
        <s v="Austrian Contemporary"/>
        <s v="Avant-Garde"/>
        <s v="Basque"/>
        <s v="Basque Experimental"/>
        <s v="Basque Grill"/>
        <s v="British Contemporary"/>
        <s v="Chilean Contemporary"/>
        <s v="Colombian Contemporary"/>
        <s v="Contemporary American"/>
        <s v="Contemporary Catalan"/>
        <s v="Contemporary French"/>
        <s v="Contemporary German"/>
        <s v="Contemporary Mexican"/>
        <s v="Contemporary Peruvian"/>
        <s v="Contemporary Russian"/>
        <s v="Experimental"/>
        <s v="Farm-To-Table"/>
        <s v="French"/>
        <s v="French Contemporary"/>
        <s v="French Haute Cuisine"/>
        <s v="French Seafood"/>
        <s v="French Vegetarian"/>
        <s v="Italian"/>
        <s v="Italian Contemporary"/>
        <s v="Italian Haute Cuisine"/>
        <s v="Japanese Innovative"/>
        <s v="Japanese Kaiseki"/>
        <s v="Japanese-Californian"/>
        <s v="Mediterranean"/>
        <s v="Modern Bbq"/>
        <s v="Molecular Gastronomy"/>
        <s v="New Nordic"/>
        <s v="Nikkei"/>
        <s v="Nordic Contemporary"/>
        <s v="Progressive Indian"/>
      </sharedItems>
    </cacheField>
    <cacheField name="[Measures].[Average of Average_Price_USD]" caption="Average of Average_Price_USD" numFmtId="0" hierarchy="23" level="32767"/>
    <cacheField name="[cleaned].[Price_Category].[Price_Category]" caption="Price_Category" numFmtId="0" hierarchy="13" level="1">
      <sharedItems containsSemiMixedTypes="0" containsNonDate="0" containsString="0"/>
    </cacheField>
  </cacheFields>
  <cacheHierarchies count="26">
    <cacheHierarchy uniqueName="[cleaned].[Restaurant_Name]" caption="Restaurant_Name" attribute="1" defaultMemberUniqueName="[cleaned].[Restaurant_Name].[All]" allUniqueName="[cleaned].[Restaurant_Name].[All]" dimensionUniqueName="[cleaned]" displayFolder="" count="2" memberValueDatatype="130" unbalanced="0"/>
    <cacheHierarchy uniqueName="[cleaned].[City]" caption="City" attribute="1" defaultMemberUniqueName="[cleaned].[City].[All]" allUniqueName="[cleaned].[City].[All]" dimensionUniqueName="[cleaned]" displayFolder="" count="2" memberValueDatatype="130" unbalanced="0"/>
    <cacheHierarchy uniqueName="[cleaned].[Country]" caption="Country" attribute="1" defaultMemberUniqueName="[cleaned].[Country].[All]" allUniqueName="[cleaned].[Country].[All]" dimensionUniqueName="[cleaned]" displayFolder="" count="2" memberValueDatatype="130" unbalanced="0"/>
    <cacheHierarchy uniqueName="[cleaned].[Continent]" caption="Continent" attribute="1" defaultMemberUniqueName="[cleaned].[Continent].[All]" allUniqueName="[cleaned].[Continent].[All]" dimensionUniqueName="[cleaned]" displayFolder="" count="2" memberValueDatatype="130" unbalanced="0"/>
    <cacheHierarchy uniqueName="[cleaned].[Cuisine_Type]" caption="Cuisine_Type" attribute="1" defaultMemberUniqueName="[cleaned].[Cuisine_Type].[All]" allUniqueName="[cleaned].[Cuisine_Type].[All]" dimensionUniqueName="[cleaned]" displayFolder="" count="2" memberValueDatatype="130" unbalanced="0">
      <fieldsUsage count="2">
        <fieldUsage x="-1"/>
        <fieldUsage x="0"/>
      </fieldsUsage>
    </cacheHierarchy>
    <cacheHierarchy uniqueName="[cleaned].[Michelin_Stars]" caption="Michelin_Stars" attribute="1" defaultMemberUniqueName="[cleaned].[Michelin_Stars].[All]" allUniqueName="[cleaned].[Michelin_Stars].[All]" dimensionUniqueName="[cleaned]" displayFolder="" count="2" memberValueDatatype="20" unbalanced="0"/>
    <cacheHierarchy uniqueName="[cleaned].[Average_Price_USD]" caption="Average_Price_USD" attribute="1" defaultMemberUniqueName="[cleaned].[Average_Price_USD].[All]" allUniqueName="[cleaned].[Average_Price_USD].[All]" dimensionUniqueName="[cleaned]" displayFolder="" count="2" memberValueDatatype="20" unbalanced="0"/>
    <cacheHierarchy uniqueName="[cleaned].[Chef]" caption="Chef" attribute="1" defaultMemberUniqueName="[cleaned].[Chef].[All]" allUniqueName="[cleaned].[Chef].[All]" dimensionUniqueName="[cleaned]" displayFolder="" count="2" memberValueDatatype="130" unbalanced="0"/>
    <cacheHierarchy uniqueName="[cleaned].[Established_Year]" caption="Established_Year" attribute="1" defaultMemberUniqueName="[cleaned].[Established_Year].[All]" allUniqueName="[cleaned].[Established_Year].[All]" dimensionUniqueName="[cleaned]" displayFolder="" count="2" memberValueDatatype="20" unbalanced="0"/>
    <cacheHierarchy uniqueName="[cleaned].[Seating_Capacity]" caption="Seating_Capacity" attribute="1" defaultMemberUniqueName="[cleaned].[Seating_Capacity].[All]" allUniqueName="[cleaned].[Seating_Capacity].[All]" dimensionUniqueName="[cleaned]" displayFolder="" count="2" memberValueDatatype="20" unbalanced="0"/>
    <cacheHierarchy uniqueName="[cleaned].[Rating]" caption="Rating" attribute="1" defaultMemberUniqueName="[cleaned].[Rating].[All]" allUniqueName="[cleaned].[Rating].[All]" dimensionUniqueName="[cleaned]" displayFolder="" count="2" memberValueDatatype="5" unbalanced="0"/>
    <cacheHierarchy uniqueName="[cleaned].[Signature_Dish]" caption="Signature_Dish" attribute="1" defaultMemberUniqueName="[cleaned].[Signature_Dish].[All]" allUniqueName="[cleaned].[Signature_Dish].[All]" dimensionUniqueName="[cleaned]" displayFolder="" count="2" memberValueDatatype="130" unbalanced="0"/>
    <cacheHierarchy uniqueName="[cleaned].[Years_Operating]" caption="Years_Operating" attribute="1" defaultMemberUniqueName="[cleaned].[Years_Operating].[All]" allUniqueName="[cleaned].[Years_Operating].[All]" dimensionUniqueName="[cleaned]" displayFolder="" count="2" memberValueDatatype="20" unbalanced="0"/>
    <cacheHierarchy uniqueName="[cleaned].[Price_Category]" caption="Price_Category" attribute="1" defaultMemberUniqueName="[cleaned].[Price_Category].[All]" allUniqueName="[cleaned].[Price_Category].[All]" dimensionUniqueName="[cleaned]" displayFolder="" count="2" memberValueDatatype="130" unbalanced="0">
      <fieldsUsage count="2">
        <fieldUsage x="-1"/>
        <fieldUsage x="2"/>
      </fieldsUsage>
    </cacheHierarchy>
    <cacheHierarchy uniqueName="[Measures].[Average Price per Star]" caption="Average Price per Star" measure="1" displayFolder="" measureGroup="cleaned" count="0"/>
    <cacheHierarchy uniqueName="[Measures].[Top_Chef_Avg_Rating]" caption="Top_Chef_Avg_Rating" measure="1" displayFolder="" measureGroup="cleaned" count="0"/>
    <cacheHierarchy uniqueName="[Measures].[__XL_Count cleaned]" caption="__XL_Count cleaned" measure="1" displayFolder="" measureGroup="cleaned" count="0" hidden="1"/>
    <cacheHierarchy uniqueName="[Measures].[__No measures defined]" caption="__No measures defined" measure="1" displayFolder="" count="0" hidden="1"/>
    <cacheHierarchy uniqueName="[Measures].[Sum of Rating]" caption="Sum of Rating" measure="1" displayFolder="" measureGroup="cleaned" count="0" hidden="1">
      <extLst>
        <ext xmlns:x15="http://schemas.microsoft.com/office/spreadsheetml/2010/11/main" uri="{B97F6D7D-B522-45F9-BDA1-12C45D357490}">
          <x15:cacheHierarchy aggregatedColumn="10"/>
        </ext>
      </extLst>
    </cacheHierarchy>
    <cacheHierarchy uniqueName="[Measures].[Average of Rating]" caption="Average of Rating" measure="1" displayFolder="" measureGroup="cleaned" count="0" hidden="1">
      <extLst>
        <ext xmlns:x15="http://schemas.microsoft.com/office/spreadsheetml/2010/11/main" uri="{B97F6D7D-B522-45F9-BDA1-12C45D357490}">
          <x15:cacheHierarchy aggregatedColumn="10"/>
        </ext>
      </extLst>
    </cacheHierarchy>
    <cacheHierarchy uniqueName="[Measures].[Count of Restaurant_Name]" caption="Count of Restaurant_Name" measure="1" displayFolder="" measureGroup="cleaned" count="0" hidden="1">
      <extLst>
        <ext xmlns:x15="http://schemas.microsoft.com/office/spreadsheetml/2010/11/main" uri="{B97F6D7D-B522-45F9-BDA1-12C45D357490}">
          <x15:cacheHierarchy aggregatedColumn="0"/>
        </ext>
      </extLst>
    </cacheHierarchy>
    <cacheHierarchy uniqueName="[Measures].[Sum of Michelin_Stars]" caption="Sum of Michelin_Stars" measure="1" displayFolder="" measureGroup="cleaned" count="0" hidden="1">
      <extLst>
        <ext xmlns:x15="http://schemas.microsoft.com/office/spreadsheetml/2010/11/main" uri="{B97F6D7D-B522-45F9-BDA1-12C45D357490}">
          <x15:cacheHierarchy aggregatedColumn="5"/>
        </ext>
      </extLst>
    </cacheHierarchy>
    <cacheHierarchy uniqueName="[Measures].[Sum of Average_Price_USD]" caption="Sum of Average_Price_USD" measure="1" displayFolder="" measureGroup="cleaned" count="0" hidden="1">
      <extLst>
        <ext xmlns:x15="http://schemas.microsoft.com/office/spreadsheetml/2010/11/main" uri="{B97F6D7D-B522-45F9-BDA1-12C45D357490}">
          <x15:cacheHierarchy aggregatedColumn="6"/>
        </ext>
      </extLst>
    </cacheHierarchy>
    <cacheHierarchy uniqueName="[Measures].[Average of Average_Price_USD]" caption="Average of Average_Price_USD" measure="1" displayFolder="" measureGroup="cleaned" count="0" oneField="1" hidden="1">
      <fieldsUsage count="1">
        <fieldUsage x="1"/>
      </fieldsUsage>
      <extLst>
        <ext xmlns:x15="http://schemas.microsoft.com/office/spreadsheetml/2010/11/main" uri="{B97F6D7D-B522-45F9-BDA1-12C45D357490}">
          <x15:cacheHierarchy aggregatedColumn="6"/>
        </ext>
      </extLst>
    </cacheHierarchy>
    <cacheHierarchy uniqueName="[Measures].[Count of Signature_Dish]" caption="Count of Signature_Dish" measure="1" displayFolder="" measureGroup="cleaned" count="0" hidden="1">
      <extLst>
        <ext xmlns:x15="http://schemas.microsoft.com/office/spreadsheetml/2010/11/main" uri="{B97F6D7D-B522-45F9-BDA1-12C45D357490}">
          <x15:cacheHierarchy aggregatedColumn="11"/>
        </ext>
      </extLst>
    </cacheHierarchy>
    <cacheHierarchy uniqueName="[Measures].[Max of Rating]" caption="Max of Rating" measure="1" displayFolder="" measureGroup="cleaned" count="0" hidden="1">
      <extLst>
        <ext xmlns:x15="http://schemas.microsoft.com/office/spreadsheetml/2010/11/main" uri="{B97F6D7D-B522-45F9-BDA1-12C45D357490}">
          <x15:cacheHierarchy aggregatedColumn="10"/>
        </ext>
      </extLst>
    </cacheHierarchy>
  </cacheHierarchies>
  <kpis count="0"/>
  <dimensions count="2">
    <dimension name="cleaned" uniqueName="[cleaned]" caption="cleaned"/>
    <dimension measure="1" name="Measures" uniqueName="[Measures]" caption="Measures"/>
  </dimensions>
  <measureGroups count="1">
    <measureGroup name="cleaned" caption="cleaned"/>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izan Ahmed Khan" refreshedDate="45985.85704560185" backgroundQuery="1" createdVersion="8" refreshedVersion="8" minRefreshableVersion="3" recordCount="0" supportSubquery="1" supportAdvancedDrill="1" xr:uid="{61B0F00A-42A4-4732-8C29-4C290DF5F4B9}">
  <cacheSource type="external" connectionId="2"/>
  <cacheFields count="3">
    <cacheField name="[cleaned].[Continent].[Continent]" caption="Continent" numFmtId="0" hierarchy="3" level="1">
      <sharedItems count="4">
        <s v="Asia"/>
        <s v="Europe"/>
        <s v="North America"/>
        <s v="South America"/>
      </sharedItems>
    </cacheField>
    <cacheField name="[Measures].[Max of Rating]" caption="Max of Rating" numFmtId="0" hierarchy="25" level="32767"/>
    <cacheField name="[cleaned].[Price_Category].[Price_Category]" caption="Price_Category" numFmtId="0" hierarchy="13" level="1">
      <sharedItems containsSemiMixedTypes="0" containsNonDate="0" containsString="0"/>
    </cacheField>
  </cacheFields>
  <cacheHierarchies count="26">
    <cacheHierarchy uniqueName="[cleaned].[Restaurant_Name]" caption="Restaurant_Name" attribute="1" defaultMemberUniqueName="[cleaned].[Restaurant_Name].[All]" allUniqueName="[cleaned].[Restaurant_Name].[All]" dimensionUniqueName="[cleaned]" displayFolder="" count="0" memberValueDatatype="130" unbalanced="0"/>
    <cacheHierarchy uniqueName="[cleaned].[City]" caption="City" attribute="1" defaultMemberUniqueName="[cleaned].[City].[All]" allUniqueName="[cleaned].[City].[All]" dimensionUniqueName="[cleaned]" displayFolder="" count="0" memberValueDatatype="130" unbalanced="0"/>
    <cacheHierarchy uniqueName="[cleaned].[Country]" caption="Country" attribute="1" defaultMemberUniqueName="[cleaned].[Country].[All]" allUniqueName="[cleaned].[Country].[All]" dimensionUniqueName="[cleaned]" displayFolder="" count="0" memberValueDatatype="130" unbalanced="0"/>
    <cacheHierarchy uniqueName="[cleaned].[Continent]" caption="Continent" attribute="1" defaultMemberUniqueName="[cleaned].[Continent].[All]" allUniqueName="[cleaned].[Continent].[All]" dimensionUniqueName="[cleaned]" displayFolder="" count="2" memberValueDatatype="130" unbalanced="0">
      <fieldsUsage count="2">
        <fieldUsage x="-1"/>
        <fieldUsage x="0"/>
      </fieldsUsage>
    </cacheHierarchy>
    <cacheHierarchy uniqueName="[cleaned].[Cuisine_Type]" caption="Cuisine_Type" attribute="1" defaultMemberUniqueName="[cleaned].[Cuisine_Type].[All]" allUniqueName="[cleaned].[Cuisine_Type].[All]" dimensionUniqueName="[cleaned]" displayFolder="" count="0" memberValueDatatype="130" unbalanced="0"/>
    <cacheHierarchy uniqueName="[cleaned].[Michelin_Stars]" caption="Michelin_Stars" attribute="1" defaultMemberUniqueName="[cleaned].[Michelin_Stars].[All]" allUniqueName="[cleaned].[Michelin_Stars].[All]" dimensionUniqueName="[cleaned]" displayFolder="" count="0" memberValueDatatype="20" unbalanced="0"/>
    <cacheHierarchy uniqueName="[cleaned].[Average_Price_USD]" caption="Average_Price_USD" attribute="1" defaultMemberUniqueName="[cleaned].[Average_Price_USD].[All]" allUniqueName="[cleaned].[Average_Price_USD].[All]" dimensionUniqueName="[cleaned]" displayFolder="" count="0" memberValueDatatype="20" unbalanced="0"/>
    <cacheHierarchy uniqueName="[cleaned].[Chef]" caption="Chef" attribute="1" defaultMemberUniqueName="[cleaned].[Chef].[All]" allUniqueName="[cleaned].[Chef].[All]" dimensionUniqueName="[cleaned]" displayFolder="" count="0" memberValueDatatype="130" unbalanced="0"/>
    <cacheHierarchy uniqueName="[cleaned].[Established_Year]" caption="Established_Year" attribute="1" defaultMemberUniqueName="[cleaned].[Established_Year].[All]" allUniqueName="[cleaned].[Established_Year].[All]" dimensionUniqueName="[cleaned]" displayFolder="" count="0" memberValueDatatype="20" unbalanced="0"/>
    <cacheHierarchy uniqueName="[cleaned].[Seating_Capacity]" caption="Seating_Capacity" attribute="1" defaultMemberUniqueName="[cleaned].[Seating_Capacity].[All]" allUniqueName="[cleaned].[Seating_Capacity].[All]" dimensionUniqueName="[cleaned]" displayFolder="" count="0" memberValueDatatype="20" unbalanced="0"/>
    <cacheHierarchy uniqueName="[cleaned].[Rating]" caption="Rating" attribute="1" defaultMemberUniqueName="[cleaned].[Rating].[All]" allUniqueName="[cleaned].[Rating].[All]" dimensionUniqueName="[cleaned]" displayFolder="" count="2" memberValueDatatype="5" unbalanced="0"/>
    <cacheHierarchy uniqueName="[cleaned].[Signature_Dish]" caption="Signature_Dish" attribute="1" defaultMemberUniqueName="[cleaned].[Signature_Dish].[All]" allUniqueName="[cleaned].[Signature_Dish].[All]" dimensionUniqueName="[cleaned]" displayFolder="" count="0" memberValueDatatype="130" unbalanced="0"/>
    <cacheHierarchy uniqueName="[cleaned].[Years_Operating]" caption="Years_Operating" attribute="1" defaultMemberUniqueName="[cleaned].[Years_Operating].[All]" allUniqueName="[cleaned].[Years_Operating].[All]" dimensionUniqueName="[cleaned]" displayFolder="" count="0" memberValueDatatype="20" unbalanced="0"/>
    <cacheHierarchy uniqueName="[cleaned].[Price_Category]" caption="Price_Category" attribute="1" defaultMemberUniqueName="[cleaned].[Price_Category].[All]" allUniqueName="[cleaned].[Price_Category].[All]" dimensionUniqueName="[cleaned]" displayFolder="" count="2" memberValueDatatype="130" unbalanced="0">
      <fieldsUsage count="2">
        <fieldUsage x="-1"/>
        <fieldUsage x="2"/>
      </fieldsUsage>
    </cacheHierarchy>
    <cacheHierarchy uniqueName="[Measures].[Average Price per Star]" caption="Average Price per Star" measure="1" displayFolder="" measureGroup="cleaned" count="0"/>
    <cacheHierarchy uniqueName="[Measures].[Top_Chef_Avg_Rating]" caption="Top_Chef_Avg_Rating" measure="1" displayFolder="" measureGroup="cleaned" count="0"/>
    <cacheHierarchy uniqueName="[Measures].[__XL_Count cleaned]" caption="__XL_Count cleaned" measure="1" displayFolder="" measureGroup="cleaned" count="0" hidden="1"/>
    <cacheHierarchy uniqueName="[Measures].[__No measures defined]" caption="__No measures defined" measure="1" displayFolder="" count="0" hidden="1"/>
    <cacheHierarchy uniqueName="[Measures].[Sum of Rating]" caption="Sum of Rating" measure="1" displayFolder="" measureGroup="cleaned" count="0" hidden="1">
      <extLst>
        <ext xmlns:x15="http://schemas.microsoft.com/office/spreadsheetml/2010/11/main" uri="{B97F6D7D-B522-45F9-BDA1-12C45D357490}">
          <x15:cacheHierarchy aggregatedColumn="10"/>
        </ext>
      </extLst>
    </cacheHierarchy>
    <cacheHierarchy uniqueName="[Measures].[Average of Rating]" caption="Average of Rating" measure="1" displayFolder="" measureGroup="cleaned" count="0" hidden="1">
      <extLst>
        <ext xmlns:x15="http://schemas.microsoft.com/office/spreadsheetml/2010/11/main" uri="{B97F6D7D-B522-45F9-BDA1-12C45D357490}">
          <x15:cacheHierarchy aggregatedColumn="10"/>
        </ext>
      </extLst>
    </cacheHierarchy>
    <cacheHierarchy uniqueName="[Measures].[Count of Restaurant_Name]" caption="Count of Restaurant_Name" measure="1" displayFolder="" measureGroup="cleaned" count="0" hidden="1">
      <extLst>
        <ext xmlns:x15="http://schemas.microsoft.com/office/spreadsheetml/2010/11/main" uri="{B97F6D7D-B522-45F9-BDA1-12C45D357490}">
          <x15:cacheHierarchy aggregatedColumn="0"/>
        </ext>
      </extLst>
    </cacheHierarchy>
    <cacheHierarchy uniqueName="[Measures].[Sum of Michelin_Stars]" caption="Sum of Michelin_Stars" measure="1" displayFolder="" measureGroup="cleaned" count="0" hidden="1">
      <extLst>
        <ext xmlns:x15="http://schemas.microsoft.com/office/spreadsheetml/2010/11/main" uri="{B97F6D7D-B522-45F9-BDA1-12C45D357490}">
          <x15:cacheHierarchy aggregatedColumn="5"/>
        </ext>
      </extLst>
    </cacheHierarchy>
    <cacheHierarchy uniqueName="[Measures].[Sum of Average_Price_USD]" caption="Sum of Average_Price_USD" measure="1" displayFolder="" measureGroup="cleaned" count="0" hidden="1">
      <extLst>
        <ext xmlns:x15="http://schemas.microsoft.com/office/spreadsheetml/2010/11/main" uri="{B97F6D7D-B522-45F9-BDA1-12C45D357490}">
          <x15:cacheHierarchy aggregatedColumn="6"/>
        </ext>
      </extLst>
    </cacheHierarchy>
    <cacheHierarchy uniqueName="[Measures].[Average of Average_Price_USD]" caption="Average of Average_Price_USD" measure="1" displayFolder="" measureGroup="cleaned" count="0" hidden="1">
      <extLst>
        <ext xmlns:x15="http://schemas.microsoft.com/office/spreadsheetml/2010/11/main" uri="{B97F6D7D-B522-45F9-BDA1-12C45D357490}">
          <x15:cacheHierarchy aggregatedColumn="6"/>
        </ext>
      </extLst>
    </cacheHierarchy>
    <cacheHierarchy uniqueName="[Measures].[Count of Signature_Dish]" caption="Count of Signature_Dish" measure="1" displayFolder="" measureGroup="cleaned" count="0" hidden="1">
      <extLst>
        <ext xmlns:x15="http://schemas.microsoft.com/office/spreadsheetml/2010/11/main" uri="{B97F6D7D-B522-45F9-BDA1-12C45D357490}">
          <x15:cacheHierarchy aggregatedColumn="11"/>
        </ext>
      </extLst>
    </cacheHierarchy>
    <cacheHierarchy uniqueName="[Measures].[Max of Rating]" caption="Max of Rating" measure="1" displayFolder="" measureGroup="cleaned" count="0" oneField="1" hidden="1">
      <fieldsUsage count="1">
        <fieldUsage x="1"/>
      </fieldsUsage>
      <extLst>
        <ext xmlns:x15="http://schemas.microsoft.com/office/spreadsheetml/2010/11/main" uri="{B97F6D7D-B522-45F9-BDA1-12C45D357490}">
          <x15:cacheHierarchy aggregatedColumn="10"/>
        </ext>
      </extLst>
    </cacheHierarchy>
  </cacheHierarchies>
  <kpis count="0"/>
  <dimensions count="2">
    <dimension name="cleaned" uniqueName="[cleaned]" caption="cleaned"/>
    <dimension measure="1" name="Measures" uniqueName="[Measures]" caption="Measures"/>
  </dimensions>
  <measureGroups count="1">
    <measureGroup name="cleaned" caption="cleaned"/>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izan Ahmed Khan" refreshedDate="45985.857045949073" backgroundQuery="1" createdVersion="8" refreshedVersion="8" minRefreshableVersion="3" recordCount="0" supportSubquery="1" supportAdvancedDrill="1" xr:uid="{09B4DBFE-E4E2-4719-83F4-3DF2B1436840}">
  <cacheSource type="external" connectionId="2"/>
  <cacheFields count="3">
    <cacheField name="[cleaned].[Continent].[Continent]" caption="Continent" numFmtId="0" hierarchy="3" level="1">
      <sharedItems count="4">
        <s v="Asia"/>
        <s v="Europe"/>
        <s v="North America"/>
        <s v="South America"/>
      </sharedItems>
    </cacheField>
    <cacheField name="[Measures].[Sum of Michelin_Stars]" caption="Sum of Michelin_Stars" numFmtId="0" hierarchy="21" level="32767"/>
    <cacheField name="[cleaned].[Price_Category].[Price_Category]" caption="Price_Category" numFmtId="0" hierarchy="13" level="1">
      <sharedItems containsSemiMixedTypes="0" containsNonDate="0" containsString="0"/>
    </cacheField>
  </cacheFields>
  <cacheHierarchies count="26">
    <cacheHierarchy uniqueName="[cleaned].[Restaurant_Name]" caption="Restaurant_Name" attribute="1" defaultMemberUniqueName="[cleaned].[Restaurant_Name].[All]" allUniqueName="[cleaned].[Restaurant_Name].[All]" dimensionUniqueName="[cleaned]" displayFolder="" count="0" memberValueDatatype="130" unbalanced="0"/>
    <cacheHierarchy uniqueName="[cleaned].[City]" caption="City" attribute="1" defaultMemberUniqueName="[cleaned].[City].[All]" allUniqueName="[cleaned].[City].[All]" dimensionUniqueName="[cleaned]" displayFolder="" count="0" memberValueDatatype="130" unbalanced="0"/>
    <cacheHierarchy uniqueName="[cleaned].[Country]" caption="Country" attribute="1" defaultMemberUniqueName="[cleaned].[Country].[All]" allUniqueName="[cleaned].[Country].[All]" dimensionUniqueName="[cleaned]" displayFolder="" count="0" memberValueDatatype="130" unbalanced="0"/>
    <cacheHierarchy uniqueName="[cleaned].[Continent]" caption="Continent" attribute="1" defaultMemberUniqueName="[cleaned].[Continent].[All]" allUniqueName="[cleaned].[Continent].[All]" dimensionUniqueName="[cleaned]" displayFolder="" count="2" memberValueDatatype="130" unbalanced="0">
      <fieldsUsage count="2">
        <fieldUsage x="-1"/>
        <fieldUsage x="0"/>
      </fieldsUsage>
    </cacheHierarchy>
    <cacheHierarchy uniqueName="[cleaned].[Cuisine_Type]" caption="Cuisine_Type" attribute="1" defaultMemberUniqueName="[cleaned].[Cuisine_Type].[All]" allUniqueName="[cleaned].[Cuisine_Type].[All]" dimensionUniqueName="[cleaned]" displayFolder="" count="0" memberValueDatatype="130" unbalanced="0"/>
    <cacheHierarchy uniqueName="[cleaned].[Michelin_Stars]" caption="Michelin_Stars" attribute="1" defaultMemberUniqueName="[cleaned].[Michelin_Stars].[All]" allUniqueName="[cleaned].[Michelin_Stars].[All]" dimensionUniqueName="[cleaned]" displayFolder="" count="0" memberValueDatatype="20" unbalanced="0"/>
    <cacheHierarchy uniqueName="[cleaned].[Average_Price_USD]" caption="Average_Price_USD" attribute="1" defaultMemberUniqueName="[cleaned].[Average_Price_USD].[All]" allUniqueName="[cleaned].[Average_Price_USD].[All]" dimensionUniqueName="[cleaned]" displayFolder="" count="0" memberValueDatatype="20" unbalanced="0"/>
    <cacheHierarchy uniqueName="[cleaned].[Chef]" caption="Chef" attribute="1" defaultMemberUniqueName="[cleaned].[Chef].[All]" allUniqueName="[cleaned].[Chef].[All]" dimensionUniqueName="[cleaned]" displayFolder="" count="0" memberValueDatatype="130" unbalanced="0"/>
    <cacheHierarchy uniqueName="[cleaned].[Established_Year]" caption="Established_Year" attribute="1" defaultMemberUniqueName="[cleaned].[Established_Year].[All]" allUniqueName="[cleaned].[Established_Year].[All]" dimensionUniqueName="[cleaned]" displayFolder="" count="0" memberValueDatatype="20" unbalanced="0"/>
    <cacheHierarchy uniqueName="[cleaned].[Seating_Capacity]" caption="Seating_Capacity" attribute="1" defaultMemberUniqueName="[cleaned].[Seating_Capacity].[All]" allUniqueName="[cleaned].[Seating_Capacity].[All]" dimensionUniqueName="[cleaned]" displayFolder="" count="0" memberValueDatatype="20" unbalanced="0"/>
    <cacheHierarchy uniqueName="[cleaned].[Rating]" caption="Rating" attribute="1" defaultMemberUniqueName="[cleaned].[Rating].[All]" allUniqueName="[cleaned].[Rating].[All]" dimensionUniqueName="[cleaned]" displayFolder="" count="2" memberValueDatatype="5" unbalanced="0"/>
    <cacheHierarchy uniqueName="[cleaned].[Signature_Dish]" caption="Signature_Dish" attribute="1" defaultMemberUniqueName="[cleaned].[Signature_Dish].[All]" allUniqueName="[cleaned].[Signature_Dish].[All]" dimensionUniqueName="[cleaned]" displayFolder="" count="0" memberValueDatatype="130" unbalanced="0"/>
    <cacheHierarchy uniqueName="[cleaned].[Years_Operating]" caption="Years_Operating" attribute="1" defaultMemberUniqueName="[cleaned].[Years_Operating].[All]" allUniqueName="[cleaned].[Years_Operating].[All]" dimensionUniqueName="[cleaned]" displayFolder="" count="0" memberValueDatatype="20" unbalanced="0"/>
    <cacheHierarchy uniqueName="[cleaned].[Price_Category]" caption="Price_Category" attribute="1" defaultMemberUniqueName="[cleaned].[Price_Category].[All]" allUniqueName="[cleaned].[Price_Category].[All]" dimensionUniqueName="[cleaned]" displayFolder="" count="2" memberValueDatatype="130" unbalanced="0">
      <fieldsUsage count="2">
        <fieldUsage x="-1"/>
        <fieldUsage x="2"/>
      </fieldsUsage>
    </cacheHierarchy>
    <cacheHierarchy uniqueName="[Measures].[Average Price per Star]" caption="Average Price per Star" measure="1" displayFolder="" measureGroup="cleaned" count="0"/>
    <cacheHierarchy uniqueName="[Measures].[Top_Chef_Avg_Rating]" caption="Top_Chef_Avg_Rating" measure="1" displayFolder="" measureGroup="cleaned" count="0"/>
    <cacheHierarchy uniqueName="[Measures].[__XL_Count cleaned]" caption="__XL_Count cleaned" measure="1" displayFolder="" measureGroup="cleaned" count="0" hidden="1"/>
    <cacheHierarchy uniqueName="[Measures].[__No measures defined]" caption="__No measures defined" measure="1" displayFolder="" count="0" hidden="1"/>
    <cacheHierarchy uniqueName="[Measures].[Sum of Rating]" caption="Sum of Rating" measure="1" displayFolder="" measureGroup="cleaned" count="0" hidden="1">
      <extLst>
        <ext xmlns:x15="http://schemas.microsoft.com/office/spreadsheetml/2010/11/main" uri="{B97F6D7D-B522-45F9-BDA1-12C45D357490}">
          <x15:cacheHierarchy aggregatedColumn="10"/>
        </ext>
      </extLst>
    </cacheHierarchy>
    <cacheHierarchy uniqueName="[Measures].[Average of Rating]" caption="Average of Rating" measure="1" displayFolder="" measureGroup="cleaned" count="0" hidden="1">
      <extLst>
        <ext xmlns:x15="http://schemas.microsoft.com/office/spreadsheetml/2010/11/main" uri="{B97F6D7D-B522-45F9-BDA1-12C45D357490}">
          <x15:cacheHierarchy aggregatedColumn="10"/>
        </ext>
      </extLst>
    </cacheHierarchy>
    <cacheHierarchy uniqueName="[Measures].[Count of Restaurant_Name]" caption="Count of Restaurant_Name" measure="1" displayFolder="" measureGroup="cleaned" count="0" hidden="1">
      <extLst>
        <ext xmlns:x15="http://schemas.microsoft.com/office/spreadsheetml/2010/11/main" uri="{B97F6D7D-B522-45F9-BDA1-12C45D357490}">
          <x15:cacheHierarchy aggregatedColumn="0"/>
        </ext>
      </extLst>
    </cacheHierarchy>
    <cacheHierarchy uniqueName="[Measures].[Sum of Michelin_Stars]" caption="Sum of Michelin_Stars" measure="1" displayFolder="" measureGroup="cleaned"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Average_Price_USD]" caption="Sum of Average_Price_USD" measure="1" displayFolder="" measureGroup="cleaned" count="0" hidden="1">
      <extLst>
        <ext xmlns:x15="http://schemas.microsoft.com/office/spreadsheetml/2010/11/main" uri="{B97F6D7D-B522-45F9-BDA1-12C45D357490}">
          <x15:cacheHierarchy aggregatedColumn="6"/>
        </ext>
      </extLst>
    </cacheHierarchy>
    <cacheHierarchy uniqueName="[Measures].[Average of Average_Price_USD]" caption="Average of Average_Price_USD" measure="1" displayFolder="" measureGroup="cleaned" count="0" hidden="1">
      <extLst>
        <ext xmlns:x15="http://schemas.microsoft.com/office/spreadsheetml/2010/11/main" uri="{B97F6D7D-B522-45F9-BDA1-12C45D357490}">
          <x15:cacheHierarchy aggregatedColumn="6"/>
        </ext>
      </extLst>
    </cacheHierarchy>
    <cacheHierarchy uniqueName="[Measures].[Count of Signature_Dish]" caption="Count of Signature_Dish" measure="1" displayFolder="" measureGroup="cleaned" count="0" hidden="1">
      <extLst>
        <ext xmlns:x15="http://schemas.microsoft.com/office/spreadsheetml/2010/11/main" uri="{B97F6D7D-B522-45F9-BDA1-12C45D357490}">
          <x15:cacheHierarchy aggregatedColumn="11"/>
        </ext>
      </extLst>
    </cacheHierarchy>
    <cacheHierarchy uniqueName="[Measures].[Max of Rating]" caption="Max of Rating" measure="1" displayFolder="" measureGroup="cleaned" count="0" hidden="1">
      <extLst>
        <ext xmlns:x15="http://schemas.microsoft.com/office/spreadsheetml/2010/11/main" uri="{B97F6D7D-B522-45F9-BDA1-12C45D357490}">
          <x15:cacheHierarchy aggregatedColumn="10"/>
        </ext>
      </extLst>
    </cacheHierarchy>
  </cacheHierarchies>
  <kpis count="0"/>
  <dimensions count="2">
    <dimension name="cleaned" uniqueName="[cleaned]" caption="cleaned"/>
    <dimension measure="1" name="Measures" uniqueName="[Measures]" caption="Measures"/>
  </dimensions>
  <measureGroups count="1">
    <measureGroup name="cleaned" caption="cleaned"/>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izan Ahmed Khan" refreshedDate="45985.857046296296" backgroundQuery="1" createdVersion="8" refreshedVersion="8" minRefreshableVersion="3" recordCount="0" supportSubquery="1" supportAdvancedDrill="1" xr:uid="{802F27E4-FEE5-48AF-A4CE-EE32DA36E2CF}">
  <cacheSource type="external" connectionId="2"/>
  <cacheFields count="3">
    <cacheField name="[cleaned].[Cuisine_Type].[Cuisine_Type]" caption="Cuisine_Type" numFmtId="0" hierarchy="4" level="1">
      <sharedItems count="36">
        <s v="Asian Fusion"/>
        <s v="Austrian Contemporary"/>
        <s v="Avant-Garde"/>
        <s v="Basque"/>
        <s v="Basque Experimental"/>
        <s v="Basque Grill"/>
        <s v="British Contemporary"/>
        <s v="Chilean Contemporary"/>
        <s v="Colombian Contemporary"/>
        <s v="Contemporary American"/>
        <s v="Contemporary Catalan"/>
        <s v="Contemporary French"/>
        <s v="Contemporary German"/>
        <s v="Contemporary Mexican"/>
        <s v="Contemporary Peruvian"/>
        <s v="Contemporary Russian"/>
        <s v="Experimental"/>
        <s v="Farm-To-Table"/>
        <s v="French"/>
        <s v="French Contemporary"/>
        <s v="French Haute Cuisine"/>
        <s v="French Seafood"/>
        <s v="French Vegetarian"/>
        <s v="Italian"/>
        <s v="Italian Contemporary"/>
        <s v="Italian Haute Cuisine"/>
        <s v="Japanese Innovative"/>
        <s v="Japanese Kaiseki"/>
        <s v="Japanese-Californian"/>
        <s v="Mediterranean"/>
        <s v="Modern Bbq"/>
        <s v="Molecular Gastronomy"/>
        <s v="New Nordic"/>
        <s v="Nikkei"/>
        <s v="Nordic Contemporary"/>
        <s v="Progressive Indian"/>
      </sharedItems>
    </cacheField>
    <cacheField name="[Measures].[Average of Rating]" caption="Average of Rating" numFmtId="0" hierarchy="19" level="32767"/>
    <cacheField name="[cleaned].[Price_Category].[Price_Category]" caption="Price_Category" numFmtId="0" hierarchy="13" level="1">
      <sharedItems containsSemiMixedTypes="0" containsNonDate="0" containsString="0"/>
    </cacheField>
  </cacheFields>
  <cacheHierarchies count="26">
    <cacheHierarchy uniqueName="[cleaned].[Restaurant_Name]" caption="Restaurant_Name" attribute="1" defaultMemberUniqueName="[cleaned].[Restaurant_Name].[All]" allUniqueName="[cleaned].[Restaurant_Name].[All]" dimensionUniqueName="[cleaned]" displayFolder="" count="0" memberValueDatatype="130" unbalanced="0"/>
    <cacheHierarchy uniqueName="[cleaned].[City]" caption="City" attribute="1" defaultMemberUniqueName="[cleaned].[City].[All]" allUniqueName="[cleaned].[City].[All]" dimensionUniqueName="[cleaned]" displayFolder="" count="0" memberValueDatatype="130" unbalanced="0"/>
    <cacheHierarchy uniqueName="[cleaned].[Country]" caption="Country" attribute="1" defaultMemberUniqueName="[cleaned].[Country].[All]" allUniqueName="[cleaned].[Country].[All]" dimensionUniqueName="[cleaned]" displayFolder="" count="0" memberValueDatatype="130" unbalanced="0"/>
    <cacheHierarchy uniqueName="[cleaned].[Continent]" caption="Continent" attribute="1" defaultMemberUniqueName="[cleaned].[Continent].[All]" allUniqueName="[cleaned].[Continent].[All]" dimensionUniqueName="[cleaned]" displayFolder="" count="2" memberValueDatatype="130" unbalanced="0"/>
    <cacheHierarchy uniqueName="[cleaned].[Cuisine_Type]" caption="Cuisine_Type" attribute="1" defaultMemberUniqueName="[cleaned].[Cuisine_Type].[All]" allUniqueName="[cleaned].[Cuisine_Type].[All]" dimensionUniqueName="[cleaned]" displayFolder="" count="2" memberValueDatatype="130" unbalanced="0">
      <fieldsUsage count="2">
        <fieldUsage x="-1"/>
        <fieldUsage x="0"/>
      </fieldsUsage>
    </cacheHierarchy>
    <cacheHierarchy uniqueName="[cleaned].[Michelin_Stars]" caption="Michelin_Stars" attribute="1" defaultMemberUniqueName="[cleaned].[Michelin_Stars].[All]" allUniqueName="[cleaned].[Michelin_Stars].[All]" dimensionUniqueName="[cleaned]" displayFolder="" count="0" memberValueDatatype="20" unbalanced="0"/>
    <cacheHierarchy uniqueName="[cleaned].[Average_Price_USD]" caption="Average_Price_USD" attribute="1" defaultMemberUniqueName="[cleaned].[Average_Price_USD].[All]" allUniqueName="[cleaned].[Average_Price_USD].[All]" dimensionUniqueName="[cleaned]" displayFolder="" count="0" memberValueDatatype="20" unbalanced="0"/>
    <cacheHierarchy uniqueName="[cleaned].[Chef]" caption="Chef" attribute="1" defaultMemberUniqueName="[cleaned].[Chef].[All]" allUniqueName="[cleaned].[Chef].[All]" dimensionUniqueName="[cleaned]" displayFolder="" count="0" memberValueDatatype="130" unbalanced="0"/>
    <cacheHierarchy uniqueName="[cleaned].[Established_Year]" caption="Established_Year" attribute="1" defaultMemberUniqueName="[cleaned].[Established_Year].[All]" allUniqueName="[cleaned].[Established_Year].[All]" dimensionUniqueName="[cleaned]" displayFolder="" count="0" memberValueDatatype="20" unbalanced="0"/>
    <cacheHierarchy uniqueName="[cleaned].[Seating_Capacity]" caption="Seating_Capacity" attribute="1" defaultMemberUniqueName="[cleaned].[Seating_Capacity].[All]" allUniqueName="[cleaned].[Seating_Capacity].[All]" dimensionUniqueName="[cleaned]" displayFolder="" count="0" memberValueDatatype="20" unbalanced="0"/>
    <cacheHierarchy uniqueName="[cleaned].[Rating]" caption="Rating" attribute="1" defaultMemberUniqueName="[cleaned].[Rating].[All]" allUniqueName="[cleaned].[Rating].[All]" dimensionUniqueName="[cleaned]" displayFolder="" count="2" memberValueDatatype="5" unbalanced="0"/>
    <cacheHierarchy uniqueName="[cleaned].[Signature_Dish]" caption="Signature_Dish" attribute="1" defaultMemberUniqueName="[cleaned].[Signature_Dish].[All]" allUniqueName="[cleaned].[Signature_Dish].[All]" dimensionUniqueName="[cleaned]" displayFolder="" count="0" memberValueDatatype="130" unbalanced="0"/>
    <cacheHierarchy uniqueName="[cleaned].[Years_Operating]" caption="Years_Operating" attribute="1" defaultMemberUniqueName="[cleaned].[Years_Operating].[All]" allUniqueName="[cleaned].[Years_Operating].[All]" dimensionUniqueName="[cleaned]" displayFolder="" count="0" memberValueDatatype="20" unbalanced="0"/>
    <cacheHierarchy uniqueName="[cleaned].[Price_Category]" caption="Price_Category" attribute="1" defaultMemberUniqueName="[cleaned].[Price_Category].[All]" allUniqueName="[cleaned].[Price_Category].[All]" dimensionUniqueName="[cleaned]" displayFolder="" count="2" memberValueDatatype="130" unbalanced="0">
      <fieldsUsage count="2">
        <fieldUsage x="-1"/>
        <fieldUsage x="2"/>
      </fieldsUsage>
    </cacheHierarchy>
    <cacheHierarchy uniqueName="[Measures].[Average Price per Star]" caption="Average Price per Star" measure="1" displayFolder="" measureGroup="cleaned" count="0"/>
    <cacheHierarchy uniqueName="[Measures].[Top_Chef_Avg_Rating]" caption="Top_Chef_Avg_Rating" measure="1" displayFolder="" measureGroup="cleaned" count="0"/>
    <cacheHierarchy uniqueName="[Measures].[__XL_Count cleaned]" caption="__XL_Count cleaned" measure="1" displayFolder="" measureGroup="cleaned" count="0" hidden="1"/>
    <cacheHierarchy uniqueName="[Measures].[__No measures defined]" caption="__No measures defined" measure="1" displayFolder="" count="0" hidden="1"/>
    <cacheHierarchy uniqueName="[Measures].[Sum of Rating]" caption="Sum of Rating" measure="1" displayFolder="" measureGroup="cleaned" count="0" hidden="1">
      <extLst>
        <ext xmlns:x15="http://schemas.microsoft.com/office/spreadsheetml/2010/11/main" uri="{B97F6D7D-B522-45F9-BDA1-12C45D357490}">
          <x15:cacheHierarchy aggregatedColumn="10"/>
        </ext>
      </extLst>
    </cacheHierarchy>
    <cacheHierarchy uniqueName="[Measures].[Average of Rating]" caption="Average of Rating" measure="1" displayFolder="" measureGroup="cleaned" count="0" oneField="1" hidden="1">
      <fieldsUsage count="1">
        <fieldUsage x="1"/>
      </fieldsUsage>
      <extLst>
        <ext xmlns:x15="http://schemas.microsoft.com/office/spreadsheetml/2010/11/main" uri="{B97F6D7D-B522-45F9-BDA1-12C45D357490}">
          <x15:cacheHierarchy aggregatedColumn="10"/>
        </ext>
      </extLst>
    </cacheHierarchy>
    <cacheHierarchy uniqueName="[Measures].[Count of Restaurant_Name]" caption="Count of Restaurant_Name" measure="1" displayFolder="" measureGroup="cleaned" count="0" hidden="1">
      <extLst>
        <ext xmlns:x15="http://schemas.microsoft.com/office/spreadsheetml/2010/11/main" uri="{B97F6D7D-B522-45F9-BDA1-12C45D357490}">
          <x15:cacheHierarchy aggregatedColumn="0"/>
        </ext>
      </extLst>
    </cacheHierarchy>
    <cacheHierarchy uniqueName="[Measures].[Sum of Michelin_Stars]" caption="Sum of Michelin_Stars" measure="1" displayFolder="" measureGroup="cleaned" count="0" hidden="1">
      <extLst>
        <ext xmlns:x15="http://schemas.microsoft.com/office/spreadsheetml/2010/11/main" uri="{B97F6D7D-B522-45F9-BDA1-12C45D357490}">
          <x15:cacheHierarchy aggregatedColumn="5"/>
        </ext>
      </extLst>
    </cacheHierarchy>
    <cacheHierarchy uniqueName="[Measures].[Sum of Average_Price_USD]" caption="Sum of Average_Price_USD" measure="1" displayFolder="" measureGroup="cleaned" count="0" hidden="1">
      <extLst>
        <ext xmlns:x15="http://schemas.microsoft.com/office/spreadsheetml/2010/11/main" uri="{B97F6D7D-B522-45F9-BDA1-12C45D357490}">
          <x15:cacheHierarchy aggregatedColumn="6"/>
        </ext>
      </extLst>
    </cacheHierarchy>
    <cacheHierarchy uniqueName="[Measures].[Average of Average_Price_USD]" caption="Average of Average_Price_USD" measure="1" displayFolder="" measureGroup="cleaned" count="0" hidden="1">
      <extLst>
        <ext xmlns:x15="http://schemas.microsoft.com/office/spreadsheetml/2010/11/main" uri="{B97F6D7D-B522-45F9-BDA1-12C45D357490}">
          <x15:cacheHierarchy aggregatedColumn="6"/>
        </ext>
      </extLst>
    </cacheHierarchy>
    <cacheHierarchy uniqueName="[Measures].[Count of Signature_Dish]" caption="Count of Signature_Dish" measure="1" displayFolder="" measureGroup="cleaned" count="0" hidden="1">
      <extLst>
        <ext xmlns:x15="http://schemas.microsoft.com/office/spreadsheetml/2010/11/main" uri="{B97F6D7D-B522-45F9-BDA1-12C45D357490}">
          <x15:cacheHierarchy aggregatedColumn="11"/>
        </ext>
      </extLst>
    </cacheHierarchy>
    <cacheHierarchy uniqueName="[Measures].[Max of Rating]" caption="Max of Rating" measure="1" displayFolder="" measureGroup="cleaned" count="0" hidden="1">
      <extLst>
        <ext xmlns:x15="http://schemas.microsoft.com/office/spreadsheetml/2010/11/main" uri="{B97F6D7D-B522-45F9-BDA1-12C45D357490}">
          <x15:cacheHierarchy aggregatedColumn="10"/>
        </ext>
      </extLst>
    </cacheHierarchy>
  </cacheHierarchies>
  <kpis count="0"/>
  <dimensions count="2">
    <dimension name="cleaned" uniqueName="[cleaned]" caption="cleaned"/>
    <dimension measure="1" name="Measures" uniqueName="[Measures]" caption="Measures"/>
  </dimensions>
  <measureGroups count="1">
    <measureGroup name="cleaned" caption="cleaned"/>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izan Ahmed Khan" refreshedDate="45985.857046874997" backgroundQuery="1" createdVersion="8" refreshedVersion="8" minRefreshableVersion="3" recordCount="0" supportSubquery="1" supportAdvancedDrill="1" xr:uid="{ED88E0BD-6DD0-4D1A-82F9-374EE62A251D}">
  <cacheSource type="external" connectionId="2"/>
  <cacheFields count="3">
    <cacheField name="[cleaned].[Years_Operating].[Years_Operating]" caption="Years_Operating" numFmtId="0" hierarchy="12" level="1">
      <sharedItems containsSemiMixedTypes="0" containsString="0" containsNumber="1" containsInteger="1" minValue="8" maxValue="128" count="26">
        <n v="8"/>
        <n v="9"/>
        <n v="10"/>
        <n v="11"/>
        <n v="12"/>
        <n v="13"/>
        <n v="14"/>
        <n v="15"/>
        <n v="16"/>
        <n v="17"/>
        <n v="18"/>
        <n v="19"/>
        <n v="20"/>
        <n v="21"/>
        <n v="22"/>
        <n v="25"/>
        <n v="27"/>
        <n v="30"/>
        <n v="31"/>
        <n v="34"/>
        <n v="35"/>
        <n v="36"/>
        <n v="39"/>
        <n v="44"/>
        <n v="53"/>
        <n v="128"/>
      </sharedItems>
      <extLst>
        <ext xmlns:x15="http://schemas.microsoft.com/office/spreadsheetml/2010/11/main" uri="{4F2E5C28-24EA-4eb8-9CBF-B6C8F9C3D259}">
          <x15:cachedUniqueNames>
            <x15:cachedUniqueName index="0" name="[cleaned].[Years_Operating].&amp;[8]"/>
            <x15:cachedUniqueName index="1" name="[cleaned].[Years_Operating].&amp;[9]"/>
            <x15:cachedUniqueName index="2" name="[cleaned].[Years_Operating].&amp;[10]"/>
            <x15:cachedUniqueName index="3" name="[cleaned].[Years_Operating].&amp;[11]"/>
            <x15:cachedUniqueName index="4" name="[cleaned].[Years_Operating].&amp;[12]"/>
            <x15:cachedUniqueName index="5" name="[cleaned].[Years_Operating].&amp;[13]"/>
            <x15:cachedUniqueName index="6" name="[cleaned].[Years_Operating].&amp;[14]"/>
            <x15:cachedUniqueName index="7" name="[cleaned].[Years_Operating].&amp;[15]"/>
            <x15:cachedUniqueName index="8" name="[cleaned].[Years_Operating].&amp;[16]"/>
            <x15:cachedUniqueName index="9" name="[cleaned].[Years_Operating].&amp;[17]"/>
            <x15:cachedUniqueName index="10" name="[cleaned].[Years_Operating].&amp;[18]"/>
            <x15:cachedUniqueName index="11" name="[cleaned].[Years_Operating].&amp;[19]"/>
            <x15:cachedUniqueName index="12" name="[cleaned].[Years_Operating].&amp;[20]"/>
            <x15:cachedUniqueName index="13" name="[cleaned].[Years_Operating].&amp;[21]"/>
            <x15:cachedUniqueName index="14" name="[cleaned].[Years_Operating].&amp;[22]"/>
            <x15:cachedUniqueName index="15" name="[cleaned].[Years_Operating].&amp;[25]"/>
            <x15:cachedUniqueName index="16" name="[cleaned].[Years_Operating].&amp;[27]"/>
            <x15:cachedUniqueName index="17" name="[cleaned].[Years_Operating].&amp;[30]"/>
            <x15:cachedUniqueName index="18" name="[cleaned].[Years_Operating].&amp;[31]"/>
            <x15:cachedUniqueName index="19" name="[cleaned].[Years_Operating].&amp;[34]"/>
            <x15:cachedUniqueName index="20" name="[cleaned].[Years_Operating].&amp;[35]"/>
            <x15:cachedUniqueName index="21" name="[cleaned].[Years_Operating].&amp;[36]"/>
            <x15:cachedUniqueName index="22" name="[cleaned].[Years_Operating].&amp;[39]"/>
            <x15:cachedUniqueName index="23" name="[cleaned].[Years_Operating].&amp;[44]"/>
            <x15:cachedUniqueName index="24" name="[cleaned].[Years_Operating].&amp;[53]"/>
            <x15:cachedUniqueName index="25" name="[cleaned].[Years_Operating].&amp;[128]"/>
          </x15:cachedUniqueNames>
        </ext>
      </extLst>
    </cacheField>
    <cacheField name="[Measures].[Sum of Michelin_Stars]" caption="Sum of Michelin_Stars" numFmtId="0" hierarchy="21" level="32767"/>
    <cacheField name="[cleaned].[Price_Category].[Price_Category]" caption="Price_Category" numFmtId="0" hierarchy="13" level="1">
      <sharedItems containsSemiMixedTypes="0" containsNonDate="0" containsString="0"/>
    </cacheField>
  </cacheFields>
  <cacheHierarchies count="26">
    <cacheHierarchy uniqueName="[cleaned].[Restaurant_Name]" caption="Restaurant_Name" attribute="1" defaultMemberUniqueName="[cleaned].[Restaurant_Name].[All]" allUniqueName="[cleaned].[Restaurant_Name].[All]" dimensionUniqueName="[cleaned]" displayFolder="" count="0" memberValueDatatype="130" unbalanced="0"/>
    <cacheHierarchy uniqueName="[cleaned].[City]" caption="City" attribute="1" defaultMemberUniqueName="[cleaned].[City].[All]" allUniqueName="[cleaned].[City].[All]" dimensionUniqueName="[cleaned]" displayFolder="" count="0" memberValueDatatype="130" unbalanced="0"/>
    <cacheHierarchy uniqueName="[cleaned].[Country]" caption="Country" attribute="1" defaultMemberUniqueName="[cleaned].[Country].[All]" allUniqueName="[cleaned].[Country].[All]" dimensionUniqueName="[cleaned]" displayFolder="" count="0" memberValueDatatype="130" unbalanced="0"/>
    <cacheHierarchy uniqueName="[cleaned].[Continent]" caption="Continent" attribute="1" defaultMemberUniqueName="[cleaned].[Continent].[All]" allUniqueName="[cleaned].[Continent].[All]" dimensionUniqueName="[cleaned]" displayFolder="" count="2" memberValueDatatype="130" unbalanced="0"/>
    <cacheHierarchy uniqueName="[cleaned].[Cuisine_Type]" caption="Cuisine_Type" attribute="1" defaultMemberUniqueName="[cleaned].[Cuisine_Type].[All]" allUniqueName="[cleaned].[Cuisine_Type].[All]" dimensionUniqueName="[cleaned]" displayFolder="" count="0" memberValueDatatype="130" unbalanced="0"/>
    <cacheHierarchy uniqueName="[cleaned].[Michelin_Stars]" caption="Michelin_Stars" attribute="1" defaultMemberUniqueName="[cleaned].[Michelin_Stars].[All]" allUniqueName="[cleaned].[Michelin_Stars].[All]" dimensionUniqueName="[cleaned]" displayFolder="" count="0" memberValueDatatype="20" unbalanced="0"/>
    <cacheHierarchy uniqueName="[cleaned].[Average_Price_USD]" caption="Average_Price_USD" attribute="1" defaultMemberUniqueName="[cleaned].[Average_Price_USD].[All]" allUniqueName="[cleaned].[Average_Price_USD].[All]" dimensionUniqueName="[cleaned]" displayFolder="" count="0" memberValueDatatype="20" unbalanced="0"/>
    <cacheHierarchy uniqueName="[cleaned].[Chef]" caption="Chef" attribute="1" defaultMemberUniqueName="[cleaned].[Chef].[All]" allUniqueName="[cleaned].[Chef].[All]" dimensionUniqueName="[cleaned]" displayFolder="" count="0" memberValueDatatype="130" unbalanced="0"/>
    <cacheHierarchy uniqueName="[cleaned].[Established_Year]" caption="Established_Year" attribute="1" defaultMemberUniqueName="[cleaned].[Established_Year].[All]" allUniqueName="[cleaned].[Established_Year].[All]" dimensionUniqueName="[cleaned]" displayFolder="" count="0" memberValueDatatype="20" unbalanced="0"/>
    <cacheHierarchy uniqueName="[cleaned].[Seating_Capacity]" caption="Seating_Capacity" attribute="1" defaultMemberUniqueName="[cleaned].[Seating_Capacity].[All]" allUniqueName="[cleaned].[Seating_Capacity].[All]" dimensionUniqueName="[cleaned]" displayFolder="" count="0" memberValueDatatype="20" unbalanced="0"/>
    <cacheHierarchy uniqueName="[cleaned].[Rating]" caption="Rating" attribute="1" defaultMemberUniqueName="[cleaned].[Rating].[All]" allUniqueName="[cleaned].[Rating].[All]" dimensionUniqueName="[cleaned]" displayFolder="" count="2" memberValueDatatype="5" unbalanced="0"/>
    <cacheHierarchy uniqueName="[cleaned].[Signature_Dish]" caption="Signature_Dish" attribute="1" defaultMemberUniqueName="[cleaned].[Signature_Dish].[All]" allUniqueName="[cleaned].[Signature_Dish].[All]" dimensionUniqueName="[cleaned]" displayFolder="" count="0" memberValueDatatype="130" unbalanced="0"/>
    <cacheHierarchy uniqueName="[cleaned].[Years_Operating]" caption="Years_Operating" attribute="1" defaultMemberUniqueName="[cleaned].[Years_Operating].[All]" allUniqueName="[cleaned].[Years_Operating].[All]" dimensionUniqueName="[cleaned]" displayFolder="" count="2" memberValueDatatype="20" unbalanced="0">
      <fieldsUsage count="2">
        <fieldUsage x="-1"/>
        <fieldUsage x="0"/>
      </fieldsUsage>
    </cacheHierarchy>
    <cacheHierarchy uniqueName="[cleaned].[Price_Category]" caption="Price_Category" attribute="1" defaultMemberUniqueName="[cleaned].[Price_Category].[All]" allUniqueName="[cleaned].[Price_Category].[All]" dimensionUniqueName="[cleaned]" displayFolder="" count="2" memberValueDatatype="130" unbalanced="0">
      <fieldsUsage count="2">
        <fieldUsage x="-1"/>
        <fieldUsage x="2"/>
      </fieldsUsage>
    </cacheHierarchy>
    <cacheHierarchy uniqueName="[Measures].[Average Price per Star]" caption="Average Price per Star" measure="1" displayFolder="" measureGroup="cleaned" count="0"/>
    <cacheHierarchy uniqueName="[Measures].[Top_Chef_Avg_Rating]" caption="Top_Chef_Avg_Rating" measure="1" displayFolder="" measureGroup="cleaned" count="0"/>
    <cacheHierarchy uniqueName="[Measures].[__XL_Count cleaned]" caption="__XL_Count cleaned" measure="1" displayFolder="" measureGroup="cleaned" count="0" hidden="1"/>
    <cacheHierarchy uniqueName="[Measures].[__No measures defined]" caption="__No measures defined" measure="1" displayFolder="" count="0" hidden="1"/>
    <cacheHierarchy uniqueName="[Measures].[Sum of Rating]" caption="Sum of Rating" measure="1" displayFolder="" measureGroup="cleaned" count="0" hidden="1">
      <extLst>
        <ext xmlns:x15="http://schemas.microsoft.com/office/spreadsheetml/2010/11/main" uri="{B97F6D7D-B522-45F9-BDA1-12C45D357490}">
          <x15:cacheHierarchy aggregatedColumn="10"/>
        </ext>
      </extLst>
    </cacheHierarchy>
    <cacheHierarchy uniqueName="[Measures].[Average of Rating]" caption="Average of Rating" measure="1" displayFolder="" measureGroup="cleaned" count="0" hidden="1">
      <extLst>
        <ext xmlns:x15="http://schemas.microsoft.com/office/spreadsheetml/2010/11/main" uri="{B97F6D7D-B522-45F9-BDA1-12C45D357490}">
          <x15:cacheHierarchy aggregatedColumn="10"/>
        </ext>
      </extLst>
    </cacheHierarchy>
    <cacheHierarchy uniqueName="[Measures].[Count of Restaurant_Name]" caption="Count of Restaurant_Name" measure="1" displayFolder="" measureGroup="cleaned" count="0" hidden="1">
      <extLst>
        <ext xmlns:x15="http://schemas.microsoft.com/office/spreadsheetml/2010/11/main" uri="{B97F6D7D-B522-45F9-BDA1-12C45D357490}">
          <x15:cacheHierarchy aggregatedColumn="0"/>
        </ext>
      </extLst>
    </cacheHierarchy>
    <cacheHierarchy uniqueName="[Measures].[Sum of Michelin_Stars]" caption="Sum of Michelin_Stars" measure="1" displayFolder="" measureGroup="cleaned"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Average_Price_USD]" caption="Sum of Average_Price_USD" measure="1" displayFolder="" measureGroup="cleaned" count="0" hidden="1">
      <extLst>
        <ext xmlns:x15="http://schemas.microsoft.com/office/spreadsheetml/2010/11/main" uri="{B97F6D7D-B522-45F9-BDA1-12C45D357490}">
          <x15:cacheHierarchy aggregatedColumn="6"/>
        </ext>
      </extLst>
    </cacheHierarchy>
    <cacheHierarchy uniqueName="[Measures].[Average of Average_Price_USD]" caption="Average of Average_Price_USD" measure="1" displayFolder="" measureGroup="cleaned" count="0" hidden="1">
      <extLst>
        <ext xmlns:x15="http://schemas.microsoft.com/office/spreadsheetml/2010/11/main" uri="{B97F6D7D-B522-45F9-BDA1-12C45D357490}">
          <x15:cacheHierarchy aggregatedColumn="6"/>
        </ext>
      </extLst>
    </cacheHierarchy>
    <cacheHierarchy uniqueName="[Measures].[Count of Signature_Dish]" caption="Count of Signature_Dish" measure="1" displayFolder="" measureGroup="cleaned" count="0" hidden="1">
      <extLst>
        <ext xmlns:x15="http://schemas.microsoft.com/office/spreadsheetml/2010/11/main" uri="{B97F6D7D-B522-45F9-BDA1-12C45D357490}">
          <x15:cacheHierarchy aggregatedColumn="11"/>
        </ext>
      </extLst>
    </cacheHierarchy>
    <cacheHierarchy uniqueName="[Measures].[Max of Rating]" caption="Max of Rating" measure="1" displayFolder="" measureGroup="cleaned" count="0" hidden="1">
      <extLst>
        <ext xmlns:x15="http://schemas.microsoft.com/office/spreadsheetml/2010/11/main" uri="{B97F6D7D-B522-45F9-BDA1-12C45D357490}">
          <x15:cacheHierarchy aggregatedColumn="10"/>
        </ext>
      </extLst>
    </cacheHierarchy>
  </cacheHierarchies>
  <kpis count="0"/>
  <dimensions count="2">
    <dimension name="cleaned" uniqueName="[cleaned]" caption="cleaned"/>
    <dimension measure="1" name="Measures" uniqueName="[Measures]" caption="Measures"/>
  </dimensions>
  <measureGroups count="1">
    <measureGroup name="cleaned" caption="cleaned"/>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izan Ahmed Khan" refreshedDate="45985.857046990743" backgroundQuery="1" createdVersion="8" refreshedVersion="8" minRefreshableVersion="3" recordCount="0" supportSubquery="1" supportAdvancedDrill="1" xr:uid="{3F73B53A-B377-4E02-AE47-4B383A1F1B83}">
  <cacheSource type="external" connectionId="2"/>
  <cacheFields count="2">
    <cacheField name="[Measures].[Count of Restaurant_Name]" caption="Count of Restaurant_Name" numFmtId="0" hierarchy="20" level="32767"/>
    <cacheField name="[cleaned].[Price_Category].[Price_Category]" caption="Price_Category" numFmtId="0" hierarchy="13" level="1">
      <sharedItems containsSemiMixedTypes="0" containsNonDate="0" containsString="0"/>
    </cacheField>
  </cacheFields>
  <cacheHierarchies count="26">
    <cacheHierarchy uniqueName="[cleaned].[Restaurant_Name]" caption="Restaurant_Name" attribute="1" defaultMemberUniqueName="[cleaned].[Restaurant_Name].[All]" allUniqueName="[cleaned].[Restaurant_Name].[All]" dimensionUniqueName="[cleaned]" displayFolder="" count="0" memberValueDatatype="130" unbalanced="0"/>
    <cacheHierarchy uniqueName="[cleaned].[City]" caption="City" attribute="1" defaultMemberUniqueName="[cleaned].[City].[All]" allUniqueName="[cleaned].[City].[All]" dimensionUniqueName="[cleaned]" displayFolder="" count="0" memberValueDatatype="130" unbalanced="0"/>
    <cacheHierarchy uniqueName="[cleaned].[Country]" caption="Country" attribute="1" defaultMemberUniqueName="[cleaned].[Country].[All]" allUniqueName="[cleaned].[Country].[All]" dimensionUniqueName="[cleaned]" displayFolder="" count="0" memberValueDatatype="130" unbalanced="0"/>
    <cacheHierarchy uniqueName="[cleaned].[Continent]" caption="Continent" attribute="1" defaultMemberUniqueName="[cleaned].[Continent].[All]" allUniqueName="[cleaned].[Continent].[All]" dimensionUniqueName="[cleaned]" displayFolder="" count="2" memberValueDatatype="130" unbalanced="0"/>
    <cacheHierarchy uniqueName="[cleaned].[Cuisine_Type]" caption="Cuisine_Type" attribute="1" defaultMemberUniqueName="[cleaned].[Cuisine_Type].[All]" allUniqueName="[cleaned].[Cuisine_Type].[All]" dimensionUniqueName="[cleaned]" displayFolder="" count="0" memberValueDatatype="130" unbalanced="0"/>
    <cacheHierarchy uniqueName="[cleaned].[Michelin_Stars]" caption="Michelin_Stars" attribute="1" defaultMemberUniqueName="[cleaned].[Michelin_Stars].[All]" allUniqueName="[cleaned].[Michelin_Stars].[All]" dimensionUniqueName="[cleaned]" displayFolder="" count="0" memberValueDatatype="20" unbalanced="0"/>
    <cacheHierarchy uniqueName="[cleaned].[Average_Price_USD]" caption="Average_Price_USD" attribute="1" defaultMemberUniqueName="[cleaned].[Average_Price_USD].[All]" allUniqueName="[cleaned].[Average_Price_USD].[All]" dimensionUniqueName="[cleaned]" displayFolder="" count="0" memberValueDatatype="20" unbalanced="0"/>
    <cacheHierarchy uniqueName="[cleaned].[Chef]" caption="Chef" attribute="1" defaultMemberUniqueName="[cleaned].[Chef].[All]" allUniqueName="[cleaned].[Chef].[All]" dimensionUniqueName="[cleaned]" displayFolder="" count="0" memberValueDatatype="130" unbalanced="0"/>
    <cacheHierarchy uniqueName="[cleaned].[Established_Year]" caption="Established_Year" attribute="1" defaultMemberUniqueName="[cleaned].[Established_Year].[All]" allUniqueName="[cleaned].[Established_Year].[All]" dimensionUniqueName="[cleaned]" displayFolder="" count="0" memberValueDatatype="20" unbalanced="0"/>
    <cacheHierarchy uniqueName="[cleaned].[Seating_Capacity]" caption="Seating_Capacity" attribute="1" defaultMemberUniqueName="[cleaned].[Seating_Capacity].[All]" allUniqueName="[cleaned].[Seating_Capacity].[All]" dimensionUniqueName="[cleaned]" displayFolder="" count="0" memberValueDatatype="20" unbalanced="0"/>
    <cacheHierarchy uniqueName="[cleaned].[Rating]" caption="Rating" attribute="1" defaultMemberUniqueName="[cleaned].[Rating].[All]" allUniqueName="[cleaned].[Rating].[All]" dimensionUniqueName="[cleaned]" displayFolder="" count="2" memberValueDatatype="5" unbalanced="0"/>
    <cacheHierarchy uniqueName="[cleaned].[Signature_Dish]" caption="Signature_Dish" attribute="1" defaultMemberUniqueName="[cleaned].[Signature_Dish].[All]" allUniqueName="[cleaned].[Signature_Dish].[All]" dimensionUniqueName="[cleaned]" displayFolder="" count="0" memberValueDatatype="130" unbalanced="0"/>
    <cacheHierarchy uniqueName="[cleaned].[Years_Operating]" caption="Years_Operating" attribute="1" defaultMemberUniqueName="[cleaned].[Years_Operating].[All]" allUniqueName="[cleaned].[Years_Operating].[All]" dimensionUniqueName="[cleaned]" displayFolder="" count="0" memberValueDatatype="20" unbalanced="0"/>
    <cacheHierarchy uniqueName="[cleaned].[Price_Category]" caption="Price_Category" attribute="1" defaultMemberUniqueName="[cleaned].[Price_Category].[All]" allUniqueName="[cleaned].[Price_Category].[All]" dimensionUniqueName="[cleaned]" displayFolder="" count="2" memberValueDatatype="130" unbalanced="0">
      <fieldsUsage count="2">
        <fieldUsage x="-1"/>
        <fieldUsage x="1"/>
      </fieldsUsage>
    </cacheHierarchy>
    <cacheHierarchy uniqueName="[Measures].[Average Price per Star]" caption="Average Price per Star" measure="1" displayFolder="" measureGroup="cleaned" count="0"/>
    <cacheHierarchy uniqueName="[Measures].[Top_Chef_Avg_Rating]" caption="Top_Chef_Avg_Rating" measure="1" displayFolder="" measureGroup="cleaned" count="0"/>
    <cacheHierarchy uniqueName="[Measures].[__XL_Count cleaned]" caption="__XL_Count cleaned" measure="1" displayFolder="" measureGroup="cleaned" count="0" hidden="1"/>
    <cacheHierarchy uniqueName="[Measures].[__No measures defined]" caption="__No measures defined" measure="1" displayFolder="" count="0" hidden="1"/>
    <cacheHierarchy uniqueName="[Measures].[Sum of Rating]" caption="Sum of Rating" measure="1" displayFolder="" measureGroup="cleaned" count="0" hidden="1">
      <extLst>
        <ext xmlns:x15="http://schemas.microsoft.com/office/spreadsheetml/2010/11/main" uri="{B97F6D7D-B522-45F9-BDA1-12C45D357490}">
          <x15:cacheHierarchy aggregatedColumn="10"/>
        </ext>
      </extLst>
    </cacheHierarchy>
    <cacheHierarchy uniqueName="[Measures].[Average of Rating]" caption="Average of Rating" measure="1" displayFolder="" measureGroup="cleaned" count="0" hidden="1">
      <extLst>
        <ext xmlns:x15="http://schemas.microsoft.com/office/spreadsheetml/2010/11/main" uri="{B97F6D7D-B522-45F9-BDA1-12C45D357490}">
          <x15:cacheHierarchy aggregatedColumn="10"/>
        </ext>
      </extLst>
    </cacheHierarchy>
    <cacheHierarchy uniqueName="[Measures].[Count of Restaurant_Name]" caption="Count of Restaurant_Name" measure="1" displayFolder="" measureGroup="cleaned"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Michelin_Stars]" caption="Sum of Michelin_Stars" measure="1" displayFolder="" measureGroup="cleaned" count="0" hidden="1">
      <extLst>
        <ext xmlns:x15="http://schemas.microsoft.com/office/spreadsheetml/2010/11/main" uri="{B97F6D7D-B522-45F9-BDA1-12C45D357490}">
          <x15:cacheHierarchy aggregatedColumn="5"/>
        </ext>
      </extLst>
    </cacheHierarchy>
    <cacheHierarchy uniqueName="[Measures].[Sum of Average_Price_USD]" caption="Sum of Average_Price_USD" measure="1" displayFolder="" measureGroup="cleaned" count="0" hidden="1">
      <extLst>
        <ext xmlns:x15="http://schemas.microsoft.com/office/spreadsheetml/2010/11/main" uri="{B97F6D7D-B522-45F9-BDA1-12C45D357490}">
          <x15:cacheHierarchy aggregatedColumn="6"/>
        </ext>
      </extLst>
    </cacheHierarchy>
    <cacheHierarchy uniqueName="[Measures].[Average of Average_Price_USD]" caption="Average of Average_Price_USD" measure="1" displayFolder="" measureGroup="cleaned" count="0" hidden="1">
      <extLst>
        <ext xmlns:x15="http://schemas.microsoft.com/office/spreadsheetml/2010/11/main" uri="{B97F6D7D-B522-45F9-BDA1-12C45D357490}">
          <x15:cacheHierarchy aggregatedColumn="6"/>
        </ext>
      </extLst>
    </cacheHierarchy>
    <cacheHierarchy uniqueName="[Measures].[Count of Signature_Dish]" caption="Count of Signature_Dish" measure="1" displayFolder="" measureGroup="cleaned" count="0" hidden="1">
      <extLst>
        <ext xmlns:x15="http://schemas.microsoft.com/office/spreadsheetml/2010/11/main" uri="{B97F6D7D-B522-45F9-BDA1-12C45D357490}">
          <x15:cacheHierarchy aggregatedColumn="11"/>
        </ext>
      </extLst>
    </cacheHierarchy>
    <cacheHierarchy uniqueName="[Measures].[Max of Rating]" caption="Max of Rating" measure="1" displayFolder="" measureGroup="cleaned" count="0" hidden="1">
      <extLst>
        <ext xmlns:x15="http://schemas.microsoft.com/office/spreadsheetml/2010/11/main" uri="{B97F6D7D-B522-45F9-BDA1-12C45D357490}">
          <x15:cacheHierarchy aggregatedColumn="10"/>
        </ext>
      </extLst>
    </cacheHierarchy>
  </cacheHierarchies>
  <kpis count="0"/>
  <dimensions count="2">
    <dimension name="cleaned" uniqueName="[cleaned]" caption="cleaned"/>
    <dimension measure="1" name="Measures" uniqueName="[Measures]" caption="Measures"/>
  </dimensions>
  <measureGroups count="1">
    <measureGroup name="cleaned" caption="cleaned"/>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izan Ahmed Khan" refreshedDate="45985.85704722222" backgroundQuery="1" createdVersion="8" refreshedVersion="8" minRefreshableVersion="3" recordCount="0" supportSubquery="1" supportAdvancedDrill="1" xr:uid="{B01521C6-4D6A-4E71-A915-323EB14BE24A}">
  <cacheSource type="external" connectionId="2"/>
  <cacheFields count="2">
    <cacheField name="[Measures].[Sum of Michelin_Stars]" caption="Sum of Michelin_Stars" numFmtId="0" hierarchy="21" level="32767"/>
    <cacheField name="[cleaned].[Price_Category].[Price_Category]" caption="Price_Category" numFmtId="0" hierarchy="13" level="1">
      <sharedItems containsSemiMixedTypes="0" containsNonDate="0" containsString="0"/>
    </cacheField>
  </cacheFields>
  <cacheHierarchies count="26">
    <cacheHierarchy uniqueName="[cleaned].[Restaurant_Name]" caption="Restaurant_Name" attribute="1" defaultMemberUniqueName="[cleaned].[Restaurant_Name].[All]" allUniqueName="[cleaned].[Restaurant_Name].[All]" dimensionUniqueName="[cleaned]" displayFolder="" count="0" memberValueDatatype="130" unbalanced="0"/>
    <cacheHierarchy uniqueName="[cleaned].[City]" caption="City" attribute="1" defaultMemberUniqueName="[cleaned].[City].[All]" allUniqueName="[cleaned].[City].[All]" dimensionUniqueName="[cleaned]" displayFolder="" count="0" memberValueDatatype="130" unbalanced="0"/>
    <cacheHierarchy uniqueName="[cleaned].[Country]" caption="Country" attribute="1" defaultMemberUniqueName="[cleaned].[Country].[All]" allUniqueName="[cleaned].[Country].[All]" dimensionUniqueName="[cleaned]" displayFolder="" count="0" memberValueDatatype="130" unbalanced="0"/>
    <cacheHierarchy uniqueName="[cleaned].[Continent]" caption="Continent" attribute="1" defaultMemberUniqueName="[cleaned].[Continent].[All]" allUniqueName="[cleaned].[Continent].[All]" dimensionUniqueName="[cleaned]" displayFolder="" count="2" memberValueDatatype="130" unbalanced="0"/>
    <cacheHierarchy uniqueName="[cleaned].[Cuisine_Type]" caption="Cuisine_Type" attribute="1" defaultMemberUniqueName="[cleaned].[Cuisine_Type].[All]" allUniqueName="[cleaned].[Cuisine_Type].[All]" dimensionUniqueName="[cleaned]" displayFolder="" count="0" memberValueDatatype="130" unbalanced="0"/>
    <cacheHierarchy uniqueName="[cleaned].[Michelin_Stars]" caption="Michelin_Stars" attribute="1" defaultMemberUniqueName="[cleaned].[Michelin_Stars].[All]" allUniqueName="[cleaned].[Michelin_Stars].[All]" dimensionUniqueName="[cleaned]" displayFolder="" count="0" memberValueDatatype="20" unbalanced="0"/>
    <cacheHierarchy uniqueName="[cleaned].[Average_Price_USD]" caption="Average_Price_USD" attribute="1" defaultMemberUniqueName="[cleaned].[Average_Price_USD].[All]" allUniqueName="[cleaned].[Average_Price_USD].[All]" dimensionUniqueName="[cleaned]" displayFolder="" count="0" memberValueDatatype="20" unbalanced="0"/>
    <cacheHierarchy uniqueName="[cleaned].[Chef]" caption="Chef" attribute="1" defaultMemberUniqueName="[cleaned].[Chef].[All]" allUniqueName="[cleaned].[Chef].[All]" dimensionUniqueName="[cleaned]" displayFolder="" count="0" memberValueDatatype="130" unbalanced="0"/>
    <cacheHierarchy uniqueName="[cleaned].[Established_Year]" caption="Established_Year" attribute="1" defaultMemberUniqueName="[cleaned].[Established_Year].[All]" allUniqueName="[cleaned].[Established_Year].[All]" dimensionUniqueName="[cleaned]" displayFolder="" count="0" memberValueDatatype="20" unbalanced="0"/>
    <cacheHierarchy uniqueName="[cleaned].[Seating_Capacity]" caption="Seating_Capacity" attribute="1" defaultMemberUniqueName="[cleaned].[Seating_Capacity].[All]" allUniqueName="[cleaned].[Seating_Capacity].[All]" dimensionUniqueName="[cleaned]" displayFolder="" count="0" memberValueDatatype="20" unbalanced="0"/>
    <cacheHierarchy uniqueName="[cleaned].[Rating]" caption="Rating" attribute="1" defaultMemberUniqueName="[cleaned].[Rating].[All]" allUniqueName="[cleaned].[Rating].[All]" dimensionUniqueName="[cleaned]" displayFolder="" count="2" memberValueDatatype="5" unbalanced="0"/>
    <cacheHierarchy uniqueName="[cleaned].[Signature_Dish]" caption="Signature_Dish" attribute="1" defaultMemberUniqueName="[cleaned].[Signature_Dish].[All]" allUniqueName="[cleaned].[Signature_Dish].[All]" dimensionUniqueName="[cleaned]" displayFolder="" count="0" memberValueDatatype="130" unbalanced="0"/>
    <cacheHierarchy uniqueName="[cleaned].[Years_Operating]" caption="Years_Operating" attribute="1" defaultMemberUniqueName="[cleaned].[Years_Operating].[All]" allUniqueName="[cleaned].[Years_Operating].[All]" dimensionUniqueName="[cleaned]" displayFolder="" count="0" memberValueDatatype="20" unbalanced="0"/>
    <cacheHierarchy uniqueName="[cleaned].[Price_Category]" caption="Price_Category" attribute="1" defaultMemberUniqueName="[cleaned].[Price_Category].[All]" allUniqueName="[cleaned].[Price_Category].[All]" dimensionUniqueName="[cleaned]" displayFolder="" count="2" memberValueDatatype="130" unbalanced="0">
      <fieldsUsage count="2">
        <fieldUsage x="-1"/>
        <fieldUsage x="1"/>
      </fieldsUsage>
    </cacheHierarchy>
    <cacheHierarchy uniqueName="[Measures].[Average Price per Star]" caption="Average Price per Star" measure="1" displayFolder="" measureGroup="cleaned" count="0"/>
    <cacheHierarchy uniqueName="[Measures].[Top_Chef_Avg_Rating]" caption="Top_Chef_Avg_Rating" measure="1" displayFolder="" measureGroup="cleaned" count="0"/>
    <cacheHierarchy uniqueName="[Measures].[__XL_Count cleaned]" caption="__XL_Count cleaned" measure="1" displayFolder="" measureGroup="cleaned" count="0" hidden="1"/>
    <cacheHierarchy uniqueName="[Measures].[__No measures defined]" caption="__No measures defined" measure="1" displayFolder="" count="0" hidden="1"/>
    <cacheHierarchy uniqueName="[Measures].[Sum of Rating]" caption="Sum of Rating" measure="1" displayFolder="" measureGroup="cleaned" count="0" hidden="1">
      <extLst>
        <ext xmlns:x15="http://schemas.microsoft.com/office/spreadsheetml/2010/11/main" uri="{B97F6D7D-B522-45F9-BDA1-12C45D357490}">
          <x15:cacheHierarchy aggregatedColumn="10"/>
        </ext>
      </extLst>
    </cacheHierarchy>
    <cacheHierarchy uniqueName="[Measures].[Average of Rating]" caption="Average of Rating" measure="1" displayFolder="" measureGroup="cleaned" count="0" hidden="1">
      <extLst>
        <ext xmlns:x15="http://schemas.microsoft.com/office/spreadsheetml/2010/11/main" uri="{B97F6D7D-B522-45F9-BDA1-12C45D357490}">
          <x15:cacheHierarchy aggregatedColumn="10"/>
        </ext>
      </extLst>
    </cacheHierarchy>
    <cacheHierarchy uniqueName="[Measures].[Count of Restaurant_Name]" caption="Count of Restaurant_Name" measure="1" displayFolder="" measureGroup="cleaned" count="0" hidden="1">
      <extLst>
        <ext xmlns:x15="http://schemas.microsoft.com/office/spreadsheetml/2010/11/main" uri="{B97F6D7D-B522-45F9-BDA1-12C45D357490}">
          <x15:cacheHierarchy aggregatedColumn="0"/>
        </ext>
      </extLst>
    </cacheHierarchy>
    <cacheHierarchy uniqueName="[Measures].[Sum of Michelin_Stars]" caption="Sum of Michelin_Stars" measure="1" displayFolder="" measureGroup="cleaned"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Average_Price_USD]" caption="Sum of Average_Price_USD" measure="1" displayFolder="" measureGroup="cleaned" count="0" hidden="1">
      <extLst>
        <ext xmlns:x15="http://schemas.microsoft.com/office/spreadsheetml/2010/11/main" uri="{B97F6D7D-B522-45F9-BDA1-12C45D357490}">
          <x15:cacheHierarchy aggregatedColumn="6"/>
        </ext>
      </extLst>
    </cacheHierarchy>
    <cacheHierarchy uniqueName="[Measures].[Average of Average_Price_USD]" caption="Average of Average_Price_USD" measure="1" displayFolder="" measureGroup="cleaned" count="0" hidden="1">
      <extLst>
        <ext xmlns:x15="http://schemas.microsoft.com/office/spreadsheetml/2010/11/main" uri="{B97F6D7D-B522-45F9-BDA1-12C45D357490}">
          <x15:cacheHierarchy aggregatedColumn="6"/>
        </ext>
      </extLst>
    </cacheHierarchy>
    <cacheHierarchy uniqueName="[Measures].[Count of Signature_Dish]" caption="Count of Signature_Dish" measure="1" displayFolder="" measureGroup="cleaned" count="0" hidden="1">
      <extLst>
        <ext xmlns:x15="http://schemas.microsoft.com/office/spreadsheetml/2010/11/main" uri="{B97F6D7D-B522-45F9-BDA1-12C45D357490}">
          <x15:cacheHierarchy aggregatedColumn="11"/>
        </ext>
      </extLst>
    </cacheHierarchy>
    <cacheHierarchy uniqueName="[Measures].[Max of Rating]" caption="Max of Rating" measure="1" displayFolder="" measureGroup="cleaned" count="0" hidden="1">
      <extLst>
        <ext xmlns:x15="http://schemas.microsoft.com/office/spreadsheetml/2010/11/main" uri="{B97F6D7D-B522-45F9-BDA1-12C45D357490}">
          <x15:cacheHierarchy aggregatedColumn="10"/>
        </ext>
      </extLst>
    </cacheHierarchy>
  </cacheHierarchies>
  <kpis count="0"/>
  <dimensions count="2">
    <dimension name="cleaned" uniqueName="[cleaned]" caption="cleaned"/>
    <dimension measure="1" name="Measures" uniqueName="[Measures]" caption="Measures"/>
  </dimensions>
  <measureGroups count="1">
    <measureGroup name="cleaned" caption="cleaned"/>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izan Ahmed Khan" refreshedDate="45985.85704722222" backgroundQuery="1" createdVersion="8" refreshedVersion="8" minRefreshableVersion="3" recordCount="0" supportSubquery="1" supportAdvancedDrill="1" xr:uid="{1E2EABE1-753C-4C49-ADCE-181D16776356}">
  <cacheSource type="external" connectionId="2"/>
  <cacheFields count="2">
    <cacheField name="[Measures].[Average of Rating]" caption="Average of Rating" numFmtId="0" hierarchy="19" level="32767"/>
    <cacheField name="[cleaned].[Price_Category].[Price_Category]" caption="Price_Category" numFmtId="0" hierarchy="13" level="1">
      <sharedItems containsSemiMixedTypes="0" containsNonDate="0" containsString="0"/>
    </cacheField>
  </cacheFields>
  <cacheHierarchies count="26">
    <cacheHierarchy uniqueName="[cleaned].[Restaurant_Name]" caption="Restaurant_Name" attribute="1" defaultMemberUniqueName="[cleaned].[Restaurant_Name].[All]" allUniqueName="[cleaned].[Restaurant_Name].[All]" dimensionUniqueName="[cleaned]" displayFolder="" count="0" memberValueDatatype="130" unbalanced="0"/>
    <cacheHierarchy uniqueName="[cleaned].[City]" caption="City" attribute="1" defaultMemberUniqueName="[cleaned].[City].[All]" allUniqueName="[cleaned].[City].[All]" dimensionUniqueName="[cleaned]" displayFolder="" count="0" memberValueDatatype="130" unbalanced="0"/>
    <cacheHierarchy uniqueName="[cleaned].[Country]" caption="Country" attribute="1" defaultMemberUniqueName="[cleaned].[Country].[All]" allUniqueName="[cleaned].[Country].[All]" dimensionUniqueName="[cleaned]" displayFolder="" count="0" memberValueDatatype="130" unbalanced="0"/>
    <cacheHierarchy uniqueName="[cleaned].[Continent]" caption="Continent" attribute="1" defaultMemberUniqueName="[cleaned].[Continent].[All]" allUniqueName="[cleaned].[Continent].[All]" dimensionUniqueName="[cleaned]" displayFolder="" count="2" memberValueDatatype="130" unbalanced="0"/>
    <cacheHierarchy uniqueName="[cleaned].[Cuisine_Type]" caption="Cuisine_Type" attribute="1" defaultMemberUniqueName="[cleaned].[Cuisine_Type].[All]" allUniqueName="[cleaned].[Cuisine_Type].[All]" dimensionUniqueName="[cleaned]" displayFolder="" count="0" memberValueDatatype="130" unbalanced="0"/>
    <cacheHierarchy uniqueName="[cleaned].[Michelin_Stars]" caption="Michelin_Stars" attribute="1" defaultMemberUniqueName="[cleaned].[Michelin_Stars].[All]" allUniqueName="[cleaned].[Michelin_Stars].[All]" dimensionUniqueName="[cleaned]" displayFolder="" count="0" memberValueDatatype="20" unbalanced="0"/>
    <cacheHierarchy uniqueName="[cleaned].[Average_Price_USD]" caption="Average_Price_USD" attribute="1" defaultMemberUniqueName="[cleaned].[Average_Price_USD].[All]" allUniqueName="[cleaned].[Average_Price_USD].[All]" dimensionUniqueName="[cleaned]" displayFolder="" count="0" memberValueDatatype="20" unbalanced="0"/>
    <cacheHierarchy uniqueName="[cleaned].[Chef]" caption="Chef" attribute="1" defaultMemberUniqueName="[cleaned].[Chef].[All]" allUniqueName="[cleaned].[Chef].[All]" dimensionUniqueName="[cleaned]" displayFolder="" count="0" memberValueDatatype="130" unbalanced="0"/>
    <cacheHierarchy uniqueName="[cleaned].[Established_Year]" caption="Established_Year" attribute="1" defaultMemberUniqueName="[cleaned].[Established_Year].[All]" allUniqueName="[cleaned].[Established_Year].[All]" dimensionUniqueName="[cleaned]" displayFolder="" count="0" memberValueDatatype="20" unbalanced="0"/>
    <cacheHierarchy uniqueName="[cleaned].[Seating_Capacity]" caption="Seating_Capacity" attribute="1" defaultMemberUniqueName="[cleaned].[Seating_Capacity].[All]" allUniqueName="[cleaned].[Seating_Capacity].[All]" dimensionUniqueName="[cleaned]" displayFolder="" count="0" memberValueDatatype="20" unbalanced="0"/>
    <cacheHierarchy uniqueName="[cleaned].[Rating]" caption="Rating" attribute="1" defaultMemberUniqueName="[cleaned].[Rating].[All]" allUniqueName="[cleaned].[Rating].[All]" dimensionUniqueName="[cleaned]" displayFolder="" count="2" memberValueDatatype="5" unbalanced="0"/>
    <cacheHierarchy uniqueName="[cleaned].[Signature_Dish]" caption="Signature_Dish" attribute="1" defaultMemberUniqueName="[cleaned].[Signature_Dish].[All]" allUniqueName="[cleaned].[Signature_Dish].[All]" dimensionUniqueName="[cleaned]" displayFolder="" count="0" memberValueDatatype="130" unbalanced="0"/>
    <cacheHierarchy uniqueName="[cleaned].[Years_Operating]" caption="Years_Operating" attribute="1" defaultMemberUniqueName="[cleaned].[Years_Operating].[All]" allUniqueName="[cleaned].[Years_Operating].[All]" dimensionUniqueName="[cleaned]" displayFolder="" count="0" memberValueDatatype="20" unbalanced="0"/>
    <cacheHierarchy uniqueName="[cleaned].[Price_Category]" caption="Price_Category" attribute="1" defaultMemberUniqueName="[cleaned].[Price_Category].[All]" allUniqueName="[cleaned].[Price_Category].[All]" dimensionUniqueName="[cleaned]" displayFolder="" count="2" memberValueDatatype="130" unbalanced="0">
      <fieldsUsage count="2">
        <fieldUsage x="-1"/>
        <fieldUsage x="1"/>
      </fieldsUsage>
    </cacheHierarchy>
    <cacheHierarchy uniqueName="[Measures].[Average Price per Star]" caption="Average Price per Star" measure="1" displayFolder="" measureGroup="cleaned" count="0"/>
    <cacheHierarchy uniqueName="[Measures].[Top_Chef_Avg_Rating]" caption="Top_Chef_Avg_Rating" measure="1" displayFolder="" measureGroup="cleaned" count="0"/>
    <cacheHierarchy uniqueName="[Measures].[__XL_Count cleaned]" caption="__XL_Count cleaned" measure="1" displayFolder="" measureGroup="cleaned" count="0" hidden="1"/>
    <cacheHierarchy uniqueName="[Measures].[__No measures defined]" caption="__No measures defined" measure="1" displayFolder="" count="0" hidden="1"/>
    <cacheHierarchy uniqueName="[Measures].[Sum of Rating]" caption="Sum of Rating" measure="1" displayFolder="" measureGroup="cleaned" count="0" hidden="1">
      <extLst>
        <ext xmlns:x15="http://schemas.microsoft.com/office/spreadsheetml/2010/11/main" uri="{B97F6D7D-B522-45F9-BDA1-12C45D357490}">
          <x15:cacheHierarchy aggregatedColumn="10"/>
        </ext>
      </extLst>
    </cacheHierarchy>
    <cacheHierarchy uniqueName="[Measures].[Average of Rating]" caption="Average of Rating" measure="1" displayFolder="" measureGroup="cleaned" count="0" oneField="1" hidden="1">
      <fieldsUsage count="1">
        <fieldUsage x="0"/>
      </fieldsUsage>
      <extLst>
        <ext xmlns:x15="http://schemas.microsoft.com/office/spreadsheetml/2010/11/main" uri="{B97F6D7D-B522-45F9-BDA1-12C45D357490}">
          <x15:cacheHierarchy aggregatedColumn="10"/>
        </ext>
      </extLst>
    </cacheHierarchy>
    <cacheHierarchy uniqueName="[Measures].[Count of Restaurant_Name]" caption="Count of Restaurant_Name" measure="1" displayFolder="" measureGroup="cleaned" count="0" hidden="1">
      <extLst>
        <ext xmlns:x15="http://schemas.microsoft.com/office/spreadsheetml/2010/11/main" uri="{B97F6D7D-B522-45F9-BDA1-12C45D357490}">
          <x15:cacheHierarchy aggregatedColumn="0"/>
        </ext>
      </extLst>
    </cacheHierarchy>
    <cacheHierarchy uniqueName="[Measures].[Sum of Michelin_Stars]" caption="Sum of Michelin_Stars" measure="1" displayFolder="" measureGroup="cleaned" count="0" hidden="1">
      <extLst>
        <ext xmlns:x15="http://schemas.microsoft.com/office/spreadsheetml/2010/11/main" uri="{B97F6D7D-B522-45F9-BDA1-12C45D357490}">
          <x15:cacheHierarchy aggregatedColumn="5"/>
        </ext>
      </extLst>
    </cacheHierarchy>
    <cacheHierarchy uniqueName="[Measures].[Sum of Average_Price_USD]" caption="Sum of Average_Price_USD" measure="1" displayFolder="" measureGroup="cleaned" count="0" hidden="1">
      <extLst>
        <ext xmlns:x15="http://schemas.microsoft.com/office/spreadsheetml/2010/11/main" uri="{B97F6D7D-B522-45F9-BDA1-12C45D357490}">
          <x15:cacheHierarchy aggregatedColumn="6"/>
        </ext>
      </extLst>
    </cacheHierarchy>
    <cacheHierarchy uniqueName="[Measures].[Average of Average_Price_USD]" caption="Average of Average_Price_USD" measure="1" displayFolder="" measureGroup="cleaned" count="0" hidden="1">
      <extLst>
        <ext xmlns:x15="http://schemas.microsoft.com/office/spreadsheetml/2010/11/main" uri="{B97F6D7D-B522-45F9-BDA1-12C45D357490}">
          <x15:cacheHierarchy aggregatedColumn="6"/>
        </ext>
      </extLst>
    </cacheHierarchy>
    <cacheHierarchy uniqueName="[Measures].[Count of Signature_Dish]" caption="Count of Signature_Dish" measure="1" displayFolder="" measureGroup="cleaned" count="0" hidden="1">
      <extLst>
        <ext xmlns:x15="http://schemas.microsoft.com/office/spreadsheetml/2010/11/main" uri="{B97F6D7D-B522-45F9-BDA1-12C45D357490}">
          <x15:cacheHierarchy aggregatedColumn="11"/>
        </ext>
      </extLst>
    </cacheHierarchy>
    <cacheHierarchy uniqueName="[Measures].[Max of Rating]" caption="Max of Rating" measure="1" displayFolder="" measureGroup="cleaned" count="0" hidden="1">
      <extLst>
        <ext xmlns:x15="http://schemas.microsoft.com/office/spreadsheetml/2010/11/main" uri="{B97F6D7D-B522-45F9-BDA1-12C45D357490}">
          <x15:cacheHierarchy aggregatedColumn="10"/>
        </ext>
      </extLst>
    </cacheHierarchy>
  </cacheHierarchies>
  <kpis count="0"/>
  <dimensions count="2">
    <dimension name="cleaned" uniqueName="[cleaned]" caption="cleaned"/>
    <dimension measure="1" name="Measures" uniqueName="[Measures]" caption="Measures"/>
  </dimensions>
  <measureGroups count="1">
    <measureGroup name="cleaned" caption="cleaned"/>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izan Ahmed Khan" refreshedDate="45985.857047453705" backgroundQuery="1" createdVersion="8" refreshedVersion="8" minRefreshableVersion="3" recordCount="0" supportSubquery="1" supportAdvancedDrill="1" xr:uid="{6FD0C2D5-129E-480A-A31D-005470B8793E}">
  <cacheSource type="external" connectionId="2"/>
  <cacheFields count="2">
    <cacheField name="[Measures].[Average Price per Star]" caption="Average Price per Star" numFmtId="0" hierarchy="14" level="32767"/>
    <cacheField name="[cleaned].[Price_Category].[Price_Category]" caption="Price_Category" numFmtId="0" hierarchy="13" level="1">
      <sharedItems containsSemiMixedTypes="0" containsNonDate="0" containsString="0"/>
    </cacheField>
  </cacheFields>
  <cacheHierarchies count="26">
    <cacheHierarchy uniqueName="[cleaned].[Restaurant_Name]" caption="Restaurant_Name" attribute="1" defaultMemberUniqueName="[cleaned].[Restaurant_Name].[All]" allUniqueName="[cleaned].[Restaurant_Name].[All]" dimensionUniqueName="[cleaned]" displayFolder="" count="0" memberValueDatatype="130" unbalanced="0"/>
    <cacheHierarchy uniqueName="[cleaned].[City]" caption="City" attribute="1" defaultMemberUniqueName="[cleaned].[City].[All]" allUniqueName="[cleaned].[City].[All]" dimensionUniqueName="[cleaned]" displayFolder="" count="0" memberValueDatatype="130" unbalanced="0"/>
    <cacheHierarchy uniqueName="[cleaned].[Country]" caption="Country" attribute="1" defaultMemberUniqueName="[cleaned].[Country].[All]" allUniqueName="[cleaned].[Country].[All]" dimensionUniqueName="[cleaned]" displayFolder="" count="0" memberValueDatatype="130" unbalanced="0"/>
    <cacheHierarchy uniqueName="[cleaned].[Continent]" caption="Continent" attribute="1" defaultMemberUniqueName="[cleaned].[Continent].[All]" allUniqueName="[cleaned].[Continent].[All]" dimensionUniqueName="[cleaned]" displayFolder="" count="2" memberValueDatatype="130" unbalanced="0"/>
    <cacheHierarchy uniqueName="[cleaned].[Cuisine_Type]" caption="Cuisine_Type" attribute="1" defaultMemberUniqueName="[cleaned].[Cuisine_Type].[All]" allUniqueName="[cleaned].[Cuisine_Type].[All]" dimensionUniqueName="[cleaned]" displayFolder="" count="0" memberValueDatatype="130" unbalanced="0"/>
    <cacheHierarchy uniqueName="[cleaned].[Michelin_Stars]" caption="Michelin_Stars" attribute="1" defaultMemberUniqueName="[cleaned].[Michelin_Stars].[All]" allUniqueName="[cleaned].[Michelin_Stars].[All]" dimensionUniqueName="[cleaned]" displayFolder="" count="0" memberValueDatatype="20" unbalanced="0"/>
    <cacheHierarchy uniqueName="[cleaned].[Average_Price_USD]" caption="Average_Price_USD" attribute="1" defaultMemberUniqueName="[cleaned].[Average_Price_USD].[All]" allUniqueName="[cleaned].[Average_Price_USD].[All]" dimensionUniqueName="[cleaned]" displayFolder="" count="0" memberValueDatatype="20" unbalanced="0"/>
    <cacheHierarchy uniqueName="[cleaned].[Chef]" caption="Chef" attribute="1" defaultMemberUniqueName="[cleaned].[Chef].[All]" allUniqueName="[cleaned].[Chef].[All]" dimensionUniqueName="[cleaned]" displayFolder="" count="0" memberValueDatatype="130" unbalanced="0"/>
    <cacheHierarchy uniqueName="[cleaned].[Established_Year]" caption="Established_Year" attribute="1" defaultMemberUniqueName="[cleaned].[Established_Year].[All]" allUniqueName="[cleaned].[Established_Year].[All]" dimensionUniqueName="[cleaned]" displayFolder="" count="0" memberValueDatatype="20" unbalanced="0"/>
    <cacheHierarchy uniqueName="[cleaned].[Seating_Capacity]" caption="Seating_Capacity" attribute="1" defaultMemberUniqueName="[cleaned].[Seating_Capacity].[All]" allUniqueName="[cleaned].[Seating_Capacity].[All]" dimensionUniqueName="[cleaned]" displayFolder="" count="0" memberValueDatatype="20" unbalanced="0"/>
    <cacheHierarchy uniqueName="[cleaned].[Rating]" caption="Rating" attribute="1" defaultMemberUniqueName="[cleaned].[Rating].[All]" allUniqueName="[cleaned].[Rating].[All]" dimensionUniqueName="[cleaned]" displayFolder="" count="2" memberValueDatatype="5" unbalanced="0"/>
    <cacheHierarchy uniqueName="[cleaned].[Signature_Dish]" caption="Signature_Dish" attribute="1" defaultMemberUniqueName="[cleaned].[Signature_Dish].[All]" allUniqueName="[cleaned].[Signature_Dish].[All]" dimensionUniqueName="[cleaned]" displayFolder="" count="0" memberValueDatatype="130" unbalanced="0"/>
    <cacheHierarchy uniqueName="[cleaned].[Years_Operating]" caption="Years_Operating" attribute="1" defaultMemberUniqueName="[cleaned].[Years_Operating].[All]" allUniqueName="[cleaned].[Years_Operating].[All]" dimensionUniqueName="[cleaned]" displayFolder="" count="0" memberValueDatatype="20" unbalanced="0"/>
    <cacheHierarchy uniqueName="[cleaned].[Price_Category]" caption="Price_Category" attribute="1" defaultMemberUniqueName="[cleaned].[Price_Category].[All]" allUniqueName="[cleaned].[Price_Category].[All]" dimensionUniqueName="[cleaned]" displayFolder="" count="2" memberValueDatatype="130" unbalanced="0">
      <fieldsUsage count="2">
        <fieldUsage x="-1"/>
        <fieldUsage x="1"/>
      </fieldsUsage>
    </cacheHierarchy>
    <cacheHierarchy uniqueName="[Measures].[Average Price per Star]" caption="Average Price per Star" measure="1" displayFolder="" measureGroup="cleaned" count="0" oneField="1">
      <fieldsUsage count="1">
        <fieldUsage x="0"/>
      </fieldsUsage>
    </cacheHierarchy>
    <cacheHierarchy uniqueName="[Measures].[Top_Chef_Avg_Rating]" caption="Top_Chef_Avg_Rating" measure="1" displayFolder="" measureGroup="cleaned" count="0"/>
    <cacheHierarchy uniqueName="[Measures].[__XL_Count cleaned]" caption="__XL_Count cleaned" measure="1" displayFolder="" measureGroup="cleaned" count="0" hidden="1"/>
    <cacheHierarchy uniqueName="[Measures].[__No measures defined]" caption="__No measures defined" measure="1" displayFolder="" count="0" hidden="1"/>
    <cacheHierarchy uniqueName="[Measures].[Sum of Rating]" caption="Sum of Rating" measure="1" displayFolder="" measureGroup="cleaned" count="0" hidden="1">
      <extLst>
        <ext xmlns:x15="http://schemas.microsoft.com/office/spreadsheetml/2010/11/main" uri="{B97F6D7D-B522-45F9-BDA1-12C45D357490}">
          <x15:cacheHierarchy aggregatedColumn="10"/>
        </ext>
      </extLst>
    </cacheHierarchy>
    <cacheHierarchy uniqueName="[Measures].[Average of Rating]" caption="Average of Rating" measure="1" displayFolder="" measureGroup="cleaned" count="0" hidden="1">
      <extLst>
        <ext xmlns:x15="http://schemas.microsoft.com/office/spreadsheetml/2010/11/main" uri="{B97F6D7D-B522-45F9-BDA1-12C45D357490}">
          <x15:cacheHierarchy aggregatedColumn="10"/>
        </ext>
      </extLst>
    </cacheHierarchy>
    <cacheHierarchy uniqueName="[Measures].[Count of Restaurant_Name]" caption="Count of Restaurant_Name" measure="1" displayFolder="" measureGroup="cleaned" count="0" hidden="1">
      <extLst>
        <ext xmlns:x15="http://schemas.microsoft.com/office/spreadsheetml/2010/11/main" uri="{B97F6D7D-B522-45F9-BDA1-12C45D357490}">
          <x15:cacheHierarchy aggregatedColumn="0"/>
        </ext>
      </extLst>
    </cacheHierarchy>
    <cacheHierarchy uniqueName="[Measures].[Sum of Michelin_Stars]" caption="Sum of Michelin_Stars" measure="1" displayFolder="" measureGroup="cleaned" count="0" hidden="1">
      <extLst>
        <ext xmlns:x15="http://schemas.microsoft.com/office/spreadsheetml/2010/11/main" uri="{B97F6D7D-B522-45F9-BDA1-12C45D357490}">
          <x15:cacheHierarchy aggregatedColumn="5"/>
        </ext>
      </extLst>
    </cacheHierarchy>
    <cacheHierarchy uniqueName="[Measures].[Sum of Average_Price_USD]" caption="Sum of Average_Price_USD" measure="1" displayFolder="" measureGroup="cleaned" count="0" hidden="1">
      <extLst>
        <ext xmlns:x15="http://schemas.microsoft.com/office/spreadsheetml/2010/11/main" uri="{B97F6D7D-B522-45F9-BDA1-12C45D357490}">
          <x15:cacheHierarchy aggregatedColumn="6"/>
        </ext>
      </extLst>
    </cacheHierarchy>
    <cacheHierarchy uniqueName="[Measures].[Average of Average_Price_USD]" caption="Average of Average_Price_USD" measure="1" displayFolder="" measureGroup="cleaned" count="0" hidden="1">
      <extLst>
        <ext xmlns:x15="http://schemas.microsoft.com/office/spreadsheetml/2010/11/main" uri="{B97F6D7D-B522-45F9-BDA1-12C45D357490}">
          <x15:cacheHierarchy aggregatedColumn="6"/>
        </ext>
      </extLst>
    </cacheHierarchy>
    <cacheHierarchy uniqueName="[Measures].[Count of Signature_Dish]" caption="Count of Signature_Dish" measure="1" displayFolder="" measureGroup="cleaned" count="0" hidden="1">
      <extLst>
        <ext xmlns:x15="http://schemas.microsoft.com/office/spreadsheetml/2010/11/main" uri="{B97F6D7D-B522-45F9-BDA1-12C45D357490}">
          <x15:cacheHierarchy aggregatedColumn="11"/>
        </ext>
      </extLst>
    </cacheHierarchy>
    <cacheHierarchy uniqueName="[Measures].[Max of Rating]" caption="Max of Rating" measure="1" displayFolder="" measureGroup="cleaned" count="0" hidden="1">
      <extLst>
        <ext xmlns:x15="http://schemas.microsoft.com/office/spreadsheetml/2010/11/main" uri="{B97F6D7D-B522-45F9-BDA1-12C45D357490}">
          <x15:cacheHierarchy aggregatedColumn="10"/>
        </ext>
      </extLst>
    </cacheHierarchy>
  </cacheHierarchies>
  <kpis count="0"/>
  <dimensions count="2">
    <dimension name="cleaned" uniqueName="[cleaned]" caption="cleaned"/>
    <dimension measure="1" name="Measures" uniqueName="[Measures]" caption="Measures"/>
  </dimensions>
  <measureGroups count="1">
    <measureGroup name="cleaned" caption="cleaned"/>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izan Ahmed Khan" refreshedDate="45985.777638310188" backgroundQuery="1" createdVersion="3" refreshedVersion="8" minRefreshableVersion="3" recordCount="0" supportSubquery="1" supportAdvancedDrill="1" xr:uid="{DFC1DC27-DC32-4995-BDC5-011DFFD9B1F7}">
  <cacheSource type="external" connectionId="2">
    <extLst>
      <ext xmlns:x14="http://schemas.microsoft.com/office/spreadsheetml/2009/9/main" uri="{F057638F-6D5F-4e77-A914-E7F072B9BCA8}">
        <x14:sourceConnection name="ThisWorkbookDataModel"/>
      </ext>
    </extLst>
  </cacheSource>
  <cacheFields count="0"/>
  <cacheHierarchies count="22">
    <cacheHierarchy uniqueName="[cleaned].[Restaurant_Name]" caption="Restaurant_Name" attribute="1" defaultMemberUniqueName="[cleaned].[Restaurant_Name].[All]" allUniqueName="[cleaned].[Restaurant_Name].[All]" dimensionUniqueName="[cleaned]" displayFolder="" count="0" memberValueDatatype="130" unbalanced="0"/>
    <cacheHierarchy uniqueName="[cleaned].[City]" caption="City" attribute="1" defaultMemberUniqueName="[cleaned].[City].[All]" allUniqueName="[cleaned].[City].[All]" dimensionUniqueName="[cleaned]" displayFolder="" count="0" memberValueDatatype="130" unbalanced="0"/>
    <cacheHierarchy uniqueName="[cleaned].[Country]" caption="Country" attribute="1" defaultMemberUniqueName="[cleaned].[Country].[All]" allUniqueName="[cleaned].[Country].[All]" dimensionUniqueName="[cleaned]" displayFolder="" count="0" memberValueDatatype="130" unbalanced="0"/>
    <cacheHierarchy uniqueName="[cleaned].[Continent]" caption="Continent" attribute="1" defaultMemberUniqueName="[cleaned].[Continent].[All]" allUniqueName="[cleaned].[Continent].[All]" dimensionUniqueName="[cleaned]" displayFolder="" count="2" memberValueDatatype="130" unbalanced="0"/>
    <cacheHierarchy uniqueName="[cleaned].[Cuisine_Type]" caption="Cuisine_Type" attribute="1" defaultMemberUniqueName="[cleaned].[Cuisine_Type].[All]" allUniqueName="[cleaned].[Cuisine_Type].[All]" dimensionUniqueName="[cleaned]" displayFolder="" count="0" memberValueDatatype="130" unbalanced="0"/>
    <cacheHierarchy uniqueName="[cleaned].[Michelin_Stars]" caption="Michelin_Stars" attribute="1" defaultMemberUniqueName="[cleaned].[Michelin_Stars].[All]" allUniqueName="[cleaned].[Michelin_Stars].[All]" dimensionUniqueName="[cleaned]" displayFolder="" count="2" memberValueDatatype="20" unbalanced="0"/>
    <cacheHierarchy uniqueName="[cleaned].[Average_Price_USD]" caption="Average_Price_USD" attribute="1" defaultMemberUniqueName="[cleaned].[Average_Price_USD].[All]" allUniqueName="[cleaned].[Average_Price_USD].[All]" dimensionUniqueName="[cleaned]" displayFolder="" count="0" memberValueDatatype="20" unbalanced="0"/>
    <cacheHierarchy uniqueName="[cleaned].[Chef]" caption="Chef" attribute="1" defaultMemberUniqueName="[cleaned].[Chef].[All]" allUniqueName="[cleaned].[Chef].[All]" dimensionUniqueName="[cleaned]" displayFolder="" count="0" memberValueDatatype="130" unbalanced="0"/>
    <cacheHierarchy uniqueName="[cleaned].[Established_Year]" caption="Established_Year" attribute="1" defaultMemberUniqueName="[cleaned].[Established_Year].[All]" allUniqueName="[cleaned].[Established_Year].[All]" dimensionUniqueName="[cleaned]" displayFolder="" count="0" memberValueDatatype="20" unbalanced="0"/>
    <cacheHierarchy uniqueName="[cleaned].[Seating_Capacity]" caption="Seating_Capacity" attribute="1" defaultMemberUniqueName="[cleaned].[Seating_Capacity].[All]" allUniqueName="[cleaned].[Seating_Capacity].[All]" dimensionUniqueName="[cleaned]" displayFolder="" count="0" memberValueDatatype="20" unbalanced="0"/>
    <cacheHierarchy uniqueName="[cleaned].[Rating]" caption="Rating" attribute="1" defaultMemberUniqueName="[cleaned].[Rating].[All]" allUniqueName="[cleaned].[Rating].[All]" dimensionUniqueName="[cleaned]" displayFolder="" count="2" memberValueDatatype="5" unbalanced="0"/>
    <cacheHierarchy uniqueName="[cleaned].[Signature_Dish]" caption="Signature_Dish" attribute="1" defaultMemberUniqueName="[cleaned].[Signature_Dish].[All]" allUniqueName="[cleaned].[Signature_Dish].[All]" dimensionUniqueName="[cleaned]" displayFolder="" count="0" memberValueDatatype="130" unbalanced="0"/>
    <cacheHierarchy uniqueName="[cleaned].[Years_Operating]" caption="Years_Operating" attribute="1" defaultMemberUniqueName="[cleaned].[Years_Operating].[All]" allUniqueName="[cleaned].[Years_Operating].[All]" dimensionUniqueName="[cleaned]" displayFolder="" count="0" memberValueDatatype="20" unbalanced="0"/>
    <cacheHierarchy uniqueName="[cleaned].[Price_Category]" caption="Price_Category" attribute="1" defaultMemberUniqueName="[cleaned].[Price_Category].[All]" allUniqueName="[cleaned].[Price_Category].[All]" dimensionUniqueName="[cleaned]" displayFolder="" count="2" memberValueDatatype="130" unbalanced="0"/>
    <cacheHierarchy uniqueName="[Measures].[Average Price per Star]" caption="Average Price per Star" measure="1" displayFolder="" measureGroup="cleaned" count="0"/>
    <cacheHierarchy uniqueName="[Measures].[Top_Chef_Avg_Rating]" caption="Top_Chef_Avg_Rating" measure="1" displayFolder="" measureGroup="cleaned" count="0"/>
    <cacheHierarchy uniqueName="[Measures].[__XL_Count cleaned]" caption="__XL_Count cleaned" measure="1" displayFolder="" measureGroup="cleaned" count="0" hidden="1"/>
    <cacheHierarchy uniqueName="[Measures].[__No measures defined]" caption="__No measures defined" measure="1" displayFolder="" count="0" hidden="1"/>
    <cacheHierarchy uniqueName="[Measures].[Sum of Rating]" caption="Sum of Rating" measure="1" displayFolder="" measureGroup="cleaned" count="0" hidden="1">
      <extLst>
        <ext xmlns:x15="http://schemas.microsoft.com/office/spreadsheetml/2010/11/main" uri="{B97F6D7D-B522-45F9-BDA1-12C45D357490}">
          <x15:cacheHierarchy aggregatedColumn="10"/>
        </ext>
      </extLst>
    </cacheHierarchy>
    <cacheHierarchy uniqueName="[Measures].[Average of Rating]" caption="Average of Rating" measure="1" displayFolder="" measureGroup="cleaned" count="0" hidden="1">
      <extLst>
        <ext xmlns:x15="http://schemas.microsoft.com/office/spreadsheetml/2010/11/main" uri="{B97F6D7D-B522-45F9-BDA1-12C45D357490}">
          <x15:cacheHierarchy aggregatedColumn="10"/>
        </ext>
      </extLst>
    </cacheHierarchy>
    <cacheHierarchy uniqueName="[Measures].[Count of Restaurant_Name]" caption="Count of Restaurant_Name" measure="1" displayFolder="" measureGroup="cleaned" count="0" hidden="1">
      <extLst>
        <ext xmlns:x15="http://schemas.microsoft.com/office/spreadsheetml/2010/11/main" uri="{B97F6D7D-B522-45F9-BDA1-12C45D357490}">
          <x15:cacheHierarchy aggregatedColumn="0"/>
        </ext>
      </extLst>
    </cacheHierarchy>
    <cacheHierarchy uniqueName="[Measures].[Sum of Michelin_Stars]" caption="Sum of Michelin_Stars" measure="1" displayFolder="" measureGroup="cleaned" count="0" hidden="1">
      <extLst>
        <ext xmlns:x15="http://schemas.microsoft.com/office/spreadsheetml/2010/11/main" uri="{B97F6D7D-B522-45F9-BDA1-12C45D357490}">
          <x15:cacheHierarchy aggregatedColumn="5"/>
        </ext>
      </extLst>
    </cacheHierarchy>
  </cacheHierarchies>
  <kpis count="0"/>
  <extLst>
    <ext xmlns:x14="http://schemas.microsoft.com/office/spreadsheetml/2009/9/main" uri="{725AE2AE-9491-48be-B2B4-4EB974FC3084}">
      <x14:pivotCacheDefinition slicerData="1" pivotCacheId="17409241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0F1EE58-E59C-42C4-B7B2-FD7E9439C95E}" name="PivotTable4" cacheId="929" applyNumberFormats="0" applyBorderFormats="0" applyFontFormats="0" applyPatternFormats="0" applyAlignmentFormats="0" applyWidthHeightFormats="1" dataCaption="Values" tag="12701b90-dd8f-49f9-9bf7-9903489552b9" updatedVersion="8" minRefreshableVersion="3" useAutoFormatting="1" itemPrintTitles="1" createdVersion="8" indent="0" outline="1" outlineData="1" multipleFieldFilters="0">
  <location ref="A10:A1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2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e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BFD8DDC-BE16-4CE3-86A6-B7ED50F544A1}" name="PivotTable3" cacheId="926" applyNumberFormats="0" applyBorderFormats="0" applyFontFormats="0" applyPatternFormats="0" applyAlignmentFormats="0" applyWidthHeightFormats="1" dataCaption="Values" tag="811b79bd-60f2-461e-9a36-8f0b02b26f54" updatedVersion="8" minRefreshableVersion="3" useAutoFormatting="1" itemPrintTitles="1" createdVersion="8" indent="0" outline="1" outlineData="1" multipleFieldFilters="0">
  <location ref="A7:A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Rating" fld="0" subtotal="average" baseField="0" baseItem="0"/>
  </dataFields>
  <pivotHierarchies count="2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Rating"/>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e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CB71FC0-6C5E-4C08-B97B-6B759E50CDFA}" name="PivotTable2" cacheId="923" applyNumberFormats="0" applyBorderFormats="0" applyFontFormats="0" applyPatternFormats="0" applyAlignmentFormats="0" applyWidthHeightFormats="1" dataCaption="Values" tag="3e7d1bf8-56e9-4d62-967c-a87d4e7e5d40" updatedVersion="8" minRefreshableVersion="3" useAutoFormatting="1" itemPrintTitles="1" createdVersion="8" indent="0" outline="1" outlineData="1" multipleFieldFilters="0">
  <location ref="A4:A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Michelin_Stars" fld="0" baseField="0" baseItem="0"/>
  </dataFields>
  <pivotHierarchies count="2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e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60AB595-C8E0-4E32-BEED-0AEB1C5A0D21}" name="PivotTable1" cacheId="920" applyNumberFormats="0" applyBorderFormats="0" applyFontFormats="0" applyPatternFormats="0" applyAlignmentFormats="0" applyWidthHeightFormats="1" dataCaption="Values" tag="2de24999-764d-48f1-97ac-ae0fb8442dcc" updatedVersion="8" minRefreshableVersion="3" useAutoFormatting="1" subtotalHiddenItems="1" itemPrintTitles="1" createdVersion="8" indent="0" outline="1" outlineData="1" multipleFieldFilters="0">
  <location ref="A1:A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Restaurant_Name" fld="0" subtotal="count" baseField="0" baseItem="0"/>
  </dataFields>
  <pivotHierarchies count="2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Rating"/>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e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2C00180-A4DB-4ED7-A8FB-AE9B9B47D1FE}" name="PivotTable18" cacheId="908" applyNumberFormats="0" applyBorderFormats="0" applyFontFormats="0" applyPatternFormats="0" applyAlignmentFormats="0" applyWidthHeightFormats="1" dataCaption="Values" tag="feaf934f-3396-49d5-a90f-e8ebfc82e7f8" updatedVersion="8" minRefreshableVersion="3" useAutoFormatting="1" itemPrintTitles="1" createdVersion="8" indent="0" outline="1" outlineData="1" multipleFieldFilters="0">
  <location ref="A127:B132"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Max of Rating" fld="1" subtotal="max" baseField="0" baseItem="0"/>
  </dataFields>
  <pivotHierarchies count="2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Max of Rating"/>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e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2A6FD6D-438C-49F8-B45B-D941F0311D82}" name="PivotTable8" cacheId="917" applyNumberFormats="0" applyBorderFormats="0" applyFontFormats="0" applyPatternFormats="0" applyAlignmentFormats="0" applyWidthHeightFormats="1" dataCaption="Values" tag="595c65a4-f182-4d1a-a5cd-73f9e1b2dab5" updatedVersion="8" minRefreshableVersion="3" useAutoFormatting="1" itemPrintTitles="1" createdVersion="8" indent="0" outline="1" outlineData="1" multipleFieldFilters="0">
  <location ref="A93:B120" firstHeaderRow="1" firstDataRow="1" firstDataCol="1"/>
  <pivotFields count="3">
    <pivotField axis="axisRow" allDrilled="1" subtotalTop="0" showAll="0" dataSourceSort="1" defaultSubtotal="0" defaultAttributeDrillState="1">
      <items count="26">
        <item x="0"/>
        <item x="1"/>
        <item x="2"/>
        <item x="3"/>
        <item x="4"/>
        <item x="5"/>
        <item x="6"/>
        <item x="7"/>
        <item x="8"/>
        <item x="9"/>
        <item x="10"/>
        <item x="11"/>
        <item x="12"/>
        <item x="13"/>
        <item x="14"/>
        <item x="15"/>
        <item x="16"/>
        <item x="17"/>
        <item x="18"/>
        <item x="19"/>
        <item x="20"/>
        <item x="21"/>
        <item x="22"/>
        <item x="23"/>
        <item x="24"/>
        <item x="25"/>
      </items>
    </pivotField>
    <pivotField dataField="1" subtotalTop="0" showAll="0" defaultSubtotal="0"/>
    <pivotField allDrilled="1" subtotalTop="0" showAll="0" dataSourceSort="1" defaultSubtotal="0" defaultAttributeDrillState="1"/>
  </pivotFields>
  <rowFields count="1">
    <field x="0"/>
  </rowFields>
  <rowItems count="27">
    <i>
      <x/>
    </i>
    <i>
      <x v="1"/>
    </i>
    <i>
      <x v="2"/>
    </i>
    <i>
      <x v="3"/>
    </i>
    <i>
      <x v="4"/>
    </i>
    <i>
      <x v="5"/>
    </i>
    <i>
      <x v="6"/>
    </i>
    <i>
      <x v="7"/>
    </i>
    <i>
      <x v="8"/>
    </i>
    <i>
      <x v="9"/>
    </i>
    <i>
      <x v="10"/>
    </i>
    <i>
      <x v="11"/>
    </i>
    <i>
      <x v="12"/>
    </i>
    <i>
      <x v="13"/>
    </i>
    <i>
      <x v="14"/>
    </i>
    <i>
      <x v="15"/>
    </i>
    <i>
      <x v="16"/>
    </i>
    <i>
      <x v="17"/>
    </i>
    <i>
      <x v="18"/>
    </i>
    <i>
      <x v="19"/>
    </i>
    <i>
      <x v="20"/>
    </i>
    <i>
      <x v="21"/>
    </i>
    <i>
      <x v="22"/>
    </i>
    <i>
      <x v="23"/>
    </i>
    <i>
      <x v="24"/>
    </i>
    <i>
      <x v="25"/>
    </i>
    <i t="grand">
      <x/>
    </i>
  </rowItems>
  <colItems count="1">
    <i/>
  </colItems>
  <dataFields count="1">
    <dataField name="Sum of Michelin_Stars" fld="1" baseField="0" baseItem="0"/>
  </dataFields>
  <pivotHierarchies count="2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e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6542831-4A9B-4D41-A4FF-1364464D3BF4}" name="PivotTable7" cacheId="905" applyNumberFormats="0" applyBorderFormats="0" applyFontFormats="0" applyPatternFormats="0" applyAlignmentFormats="0" applyWidthHeightFormats="1" dataCaption="Values" tag="720dca4c-e9b1-4a0c-93ac-28da59b61178" updatedVersion="8" minRefreshableVersion="3" useAutoFormatting="1" itemPrintTitles="1" createdVersion="8" indent="0" outline="1" outlineData="1" multipleFieldFilters="0" chartFormat="4">
  <location ref="A52:B89" firstHeaderRow="1" firstDataRow="1" firstDataCol="1"/>
  <pivotFields count="3">
    <pivotField axis="axisRow" allDrilled="1" subtotalTop="0" showAll="0" dataSourceSort="1" defaultSubtotal="0" defaultAttributeDrillState="1">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s>
    </pivotField>
    <pivotField dataField="1" subtotalTop="0" showAll="0" defaultSubtotal="0"/>
    <pivotField allDrilled="1" subtotalTop="0" showAll="0" dataSourceSort="1" defaultSubtotal="0" defaultAttributeDrillState="1"/>
  </pivotFields>
  <rowFields count="1">
    <field x="0"/>
  </rowFields>
  <rowItems count="3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t="grand">
      <x/>
    </i>
  </rowItems>
  <colItems count="1">
    <i/>
  </colItems>
  <dataFields count="1">
    <dataField name="Average of Average_Price_USD" fld="1" subtotal="average" baseField="0" baseItem="0"/>
  </dataFields>
  <chartFormats count="1">
    <chartFormat chart="3" format="2"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Average_Price_USD"/>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e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7DFB540-1345-4797-A353-197BB4832442}" name="PivotTable6" cacheId="914" applyNumberFormats="0" applyBorderFormats="0" applyFontFormats="0" applyPatternFormats="0" applyAlignmentFormats="0" applyWidthHeightFormats="1" dataCaption="Values" tag="bb5e70c7-7801-4226-9327-73751fbca502" updatedVersion="8" minRefreshableVersion="3" useAutoFormatting="1" itemPrintTitles="1" createdVersion="8" indent="0" outline="1" outlineData="1" multipleFieldFilters="0" chartFormat="6">
  <location ref="A11:B48" firstHeaderRow="1" firstDataRow="1" firstDataCol="1"/>
  <pivotFields count="3">
    <pivotField axis="axisRow" allDrilled="1" subtotalTop="0" showAll="0" dataSourceSort="1" defaultSubtotal="0" defaultAttributeDrillState="1">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s>
    </pivotField>
    <pivotField dataField="1" subtotalTop="0" showAll="0" defaultSubtotal="0"/>
    <pivotField allDrilled="1" subtotalTop="0" showAll="0" dataSourceSort="1" defaultSubtotal="0" defaultAttributeDrillState="1"/>
  </pivotFields>
  <rowFields count="1">
    <field x="0"/>
  </rowFields>
  <rowItems count="3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t="grand">
      <x/>
    </i>
  </rowItems>
  <colItems count="1">
    <i/>
  </colItems>
  <dataFields count="1">
    <dataField name="Average of Rating" fld="1" subtotal="average" baseField="0" baseItem="0"/>
  </dataFields>
  <chartFormats count="1">
    <chartFormat chart="5" format="2"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Rating"/>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e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D8815EE-4DA4-48CB-8737-BDEBD0F8A362}" name="PivotTable5" cacheId="911" applyNumberFormats="0" applyBorderFormats="0" applyFontFormats="0" applyPatternFormats="0" applyAlignmentFormats="0" applyWidthHeightFormats="1" dataCaption="Values" tag="13cf89ee-bfda-492b-95ba-56e924efdfb0" updatedVersion="8" minRefreshableVersion="3" useAutoFormatting="1" itemPrintTitles="1" createdVersion="8" indent="0" outline="1" outlineData="1" multipleFieldFilters="0" chartFormat="6">
  <location ref="A2:B7"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Michelin_Stars" fld="1" baseField="0" baseItem="0"/>
  </dataFields>
  <chartFormats count="1">
    <chartFormat chart="5" format="2"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ed]"/>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inent" xr10:uid="{AFFD8ABE-44FF-4E29-87BF-D54917123A1A}" sourceName="[cleaned].[Continent]">
  <pivotTables>
    <pivotTable tabId="2" name="PivotTable1"/>
    <pivotTable tabId="2" name="PivotTable2"/>
    <pivotTable tabId="2" name="PivotTable3"/>
    <pivotTable tabId="2" name="PivotTable4"/>
    <pivotTable tabId="4" name="PivotTable18"/>
    <pivotTable tabId="4" name="PivotTable5"/>
    <pivotTable tabId="4" name="PivotTable6"/>
    <pivotTable tabId="4" name="PivotTable7"/>
    <pivotTable tabId="4" name="PivotTable8"/>
  </pivotTables>
  <data>
    <olap pivotCacheId="174092418">
      <levels count="2">
        <level uniqueName="[cleaned].[Continent].[(All)]" sourceCaption="(All)" count="0"/>
        <level uniqueName="[cleaned].[Continent].[Continent]" sourceCaption="Continent" count="4">
          <ranges>
            <range startItem="0">
              <i n="[cleaned].[Continent].&amp;[Asia]" c="Asia"/>
              <i n="[cleaned].[Continent].&amp;[Europe]" c="Europe"/>
              <i n="[cleaned].[Continent].&amp;[North America]" c="North America"/>
              <i n="[cleaned].[Continent].&amp;[South America]" c="South America"/>
            </range>
          </ranges>
        </level>
      </levels>
      <selections count="1">
        <selection n="[cleaned].[Continen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 xr10:uid="{002D08DB-3C83-4300-A9AF-AB0826382B79}" sourceName="[cleaned].[Rating]">
  <pivotTables>
    <pivotTable tabId="4" name="PivotTable7"/>
    <pivotTable tabId="4" name="PivotTable18"/>
    <pivotTable tabId="4" name="PivotTable5"/>
    <pivotTable tabId="4" name="PivotTable6"/>
    <pivotTable tabId="4" name="PivotTable8"/>
    <pivotTable tabId="2" name="PivotTable1"/>
    <pivotTable tabId="2" name="PivotTable2"/>
    <pivotTable tabId="2" name="PivotTable3"/>
    <pivotTable tabId="2" name="PivotTable4"/>
  </pivotTables>
  <data>
    <olap pivotCacheId="174092418">
      <levels count="2">
        <level uniqueName="[cleaned].[Rating].[(All)]" sourceCaption="(All)" count="0"/>
        <level uniqueName="[cleaned].[Rating].[Rating]" sourceCaption="Rating" count="5">
          <ranges>
            <range startItem="0">
              <i n="[cleaned].[Rating].&amp;[4.5]" c="4.5"/>
              <i n="[cleaned].[Rating].&amp;[4.6]" c="4.6"/>
              <i n="[cleaned].[Rating].&amp;[4.7]" c="4.7"/>
              <i n="[cleaned].[Rating].&amp;[4.8]" c="4.8"/>
              <i n="[cleaned].[Rating].&amp;[4.9]" c="4.9"/>
            </range>
          </ranges>
        </level>
      </levels>
      <selections count="1">
        <selection n="[cleaned].[Rating].[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ce_Category" xr10:uid="{298C4C1F-00C9-45AB-AA26-4F1EB882B068}" sourceName="[cleaned].[Price_Category]">
  <pivotTables>
    <pivotTable tabId="4" name="PivotTable7"/>
    <pivotTable tabId="4" name="PivotTable18"/>
    <pivotTable tabId="4" name="PivotTable5"/>
    <pivotTable tabId="4" name="PivotTable6"/>
    <pivotTable tabId="4" name="PivotTable8"/>
    <pivotTable tabId="2" name="PivotTable1"/>
    <pivotTable tabId="2" name="PivotTable2"/>
    <pivotTable tabId="2" name="PivotTable3"/>
    <pivotTable tabId="2" name="PivotTable4"/>
  </pivotTables>
  <data>
    <olap pivotCacheId="174092418">
      <levels count="2">
        <level uniqueName="[cleaned].[Price_Category].[(All)]" sourceCaption="(All)" count="0"/>
        <level uniqueName="[cleaned].[Price_Category].[Price_Category]" sourceCaption="Price_Category" count="4">
          <ranges>
            <range startItem="0">
              <i n="[cleaned].[Price_Category].&amp;[Fine Dining]" c="Fine Dining"/>
              <i n="[cleaned].[Price_Category].&amp;[Luxury]" c="Luxury"/>
              <i n="[cleaned].[Price_Category].&amp;[Premium]" c="Premium"/>
              <i n="[cleaned].[Price_Category].&amp;[Ultra-Luxury]" c="Ultra-Luxury"/>
            </range>
          </ranges>
        </level>
      </levels>
      <selections count="1">
        <selection n="[cleaned].[Price_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ntinent" xr10:uid="{78E40AE0-0131-4EDC-9146-132E1C8A7D0B}" cache="Slicer_Continent" caption="Continent" level="1" rowHeight="234950"/>
  <slicer name="Rating 1" xr10:uid="{8718A4B3-1785-4C5E-97A4-AC4B27460DBD}" cache="Slicer_Rating" caption="Rating" level="1" rowHeight="234950"/>
  <slicer name="Price_Category" xr10:uid="{055844DD-F482-4B7E-97E2-ADD2E3F0FD26}" cache="Slicer_Price_Category" caption="Price_Category"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ating" xr10:uid="{47BDAE24-F5BC-4B1A-9ADF-1E0D25DE7359}" cache="Slicer_Rating" caption="Rating" level="1" rowHeight="234950"/>
</slicers>
</file>

<file path=xl/theme/theme1.xml><?xml version="1.0" encoding="utf-8"?>
<a:theme xmlns:a="http://schemas.openxmlformats.org/drawingml/2006/main" name="Parcel">
  <a:themeElements>
    <a:clrScheme name="Red">
      <a:dk1>
        <a:sysClr val="windowText" lastClr="000000"/>
      </a:dk1>
      <a:lt1>
        <a:sysClr val="window" lastClr="FFFFFF"/>
      </a:lt1>
      <a:dk2>
        <a:srgbClr val="323232"/>
      </a:dk2>
      <a:lt2>
        <a:srgbClr val="E5C243"/>
      </a:lt2>
      <a:accent1>
        <a:srgbClr val="A5300F"/>
      </a:accent1>
      <a:accent2>
        <a:srgbClr val="D55816"/>
      </a:accent2>
      <a:accent3>
        <a:srgbClr val="E19825"/>
      </a:accent3>
      <a:accent4>
        <a:srgbClr val="B19C7D"/>
      </a:accent4>
      <a:accent5>
        <a:srgbClr val="7F5F52"/>
      </a:accent5>
      <a:accent6>
        <a:srgbClr val="B27D49"/>
      </a:accent6>
      <a:hlink>
        <a:srgbClr val="6B9F25"/>
      </a:hlink>
      <a:folHlink>
        <a:srgbClr val="B26B02"/>
      </a:folHlink>
    </a:clrScheme>
    <a:fontScheme name="Parcel">
      <a:majorFont>
        <a:latin typeface="Gill Sans MT" panose="020B0502020104020203"/>
        <a:ea typeface=""/>
        <a:cs typeface=""/>
        <a:font script="Grek" typeface="Corbel"/>
        <a:font script="Cyrl" typeface="Corbel"/>
        <a:font script="Jpan" typeface="HGｺﾞｼｯｸE"/>
        <a:font script="Hang" typeface="휴먼매직체"/>
        <a:font script="Hans" typeface="华文中宋"/>
        <a:font script="Hant" typeface="微軟正黑體"/>
        <a:font script="Arab" typeface="Majalla UI"/>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Gill Sans MT" panose="020B0502020104020203"/>
        <a:ea typeface=""/>
        <a:cs typeface=""/>
        <a:font script="Grek" typeface="Corbel"/>
        <a:font script="Cyrl" typeface="Corbel"/>
        <a:font script="Jpan" typeface="HGｺﾞｼｯｸE"/>
        <a:font script="Hang" typeface="휴먼매직체"/>
        <a:font script="Hans" typeface="华文中宋"/>
        <a:font script="Hant" typeface="微軟正黑體"/>
        <a:font script="Arab" typeface="Majalla UI"/>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Milk Glass">
      <a:fillStyleLst>
        <a:solidFill>
          <a:schemeClr val="phClr"/>
        </a:solidFill>
        <a:gradFill rotWithShape="1">
          <a:gsLst>
            <a:gs pos="0">
              <a:schemeClr val="phClr">
                <a:tint val="15000"/>
                <a:satMod val="250000"/>
              </a:schemeClr>
            </a:gs>
            <a:gs pos="49000">
              <a:schemeClr val="phClr">
                <a:tint val="50000"/>
                <a:satMod val="200000"/>
              </a:schemeClr>
            </a:gs>
            <a:gs pos="49100">
              <a:schemeClr val="phClr">
                <a:tint val="64000"/>
                <a:satMod val="160000"/>
              </a:schemeClr>
            </a:gs>
            <a:gs pos="92000">
              <a:schemeClr val="phClr">
                <a:tint val="50000"/>
                <a:satMod val="200000"/>
              </a:schemeClr>
            </a:gs>
            <a:gs pos="100000">
              <a:schemeClr val="phClr">
                <a:tint val="43000"/>
                <a:satMod val="190000"/>
              </a:schemeClr>
            </a:gs>
          </a:gsLst>
          <a:lin ang="5400000" scaled="1"/>
        </a:gradFill>
        <a:gradFill rotWithShape="1">
          <a:gsLst>
            <a:gs pos="0">
              <a:schemeClr val="phClr">
                <a:tint val="74000"/>
              </a:schemeClr>
            </a:gs>
            <a:gs pos="49000">
              <a:schemeClr val="phClr">
                <a:tint val="96000"/>
                <a:shade val="84000"/>
                <a:satMod val="110000"/>
              </a:schemeClr>
            </a:gs>
            <a:gs pos="49100">
              <a:schemeClr val="phClr">
                <a:shade val="55000"/>
                <a:satMod val="150000"/>
              </a:schemeClr>
            </a:gs>
            <a:gs pos="92000">
              <a:schemeClr val="phClr">
                <a:tint val="98000"/>
                <a:shade val="90000"/>
                <a:satMod val="128000"/>
              </a:schemeClr>
            </a:gs>
            <a:gs pos="100000">
              <a:schemeClr val="phClr">
                <a:tint val="90000"/>
                <a:shade val="97000"/>
                <a:satMod val="128000"/>
              </a:schemeClr>
            </a:gs>
          </a:gsLst>
          <a:lin ang="5400000" scaled="1"/>
        </a:gradFill>
      </a:fillStyleLst>
      <a:lnStyleLst>
        <a:ln w="11430" cap="flat" cmpd="sng" algn="ctr">
          <a:solidFill>
            <a:schemeClr val="phClr"/>
          </a:solidFill>
          <a:prstDash val="solid"/>
        </a:ln>
        <a:ln w="40000" cap="flat" cmpd="sng" algn="ctr">
          <a:solidFill>
            <a:schemeClr val="phClr"/>
          </a:solidFill>
          <a:prstDash val="solid"/>
        </a:ln>
        <a:ln w="31800" cap="flat" cmpd="sng" algn="ctr">
          <a:solidFill>
            <a:schemeClr val="phClr"/>
          </a:solidFill>
          <a:prstDash val="solid"/>
        </a:ln>
      </a:lnStyleLst>
      <a:effectStyleLst>
        <a:effectStyle>
          <a:effectLst>
            <a:outerShdw blurRad="50800" dist="25000" dir="5400000" rotWithShape="0">
              <a:schemeClr val="phClr">
                <a:shade val="30000"/>
                <a:satMod val="150000"/>
                <a:alpha val="38000"/>
              </a:schemeClr>
            </a:outerShdw>
          </a:effectLst>
        </a:effectStyle>
        <a:effectStyle>
          <a:effectLst>
            <a:outerShdw blurRad="39000" dist="25400" dir="5400000" rotWithShape="0">
              <a:schemeClr val="phClr">
                <a:shade val="33000"/>
                <a:alpha val="83000"/>
              </a:schemeClr>
            </a:outerShdw>
          </a:effectLst>
        </a:effectStyle>
        <a:effectStyle>
          <a:effectLst>
            <a:outerShdw blurRad="39000" dist="25400" dir="5400000" rotWithShape="0">
              <a:schemeClr val="phClr">
                <a:shade val="33000"/>
                <a:alpha val="83000"/>
              </a:schemeClr>
            </a:outerShdw>
          </a:effectLst>
          <a:scene3d>
            <a:camera prst="orthographicFront" fov="0">
              <a:rot lat="0" lon="0" rev="0"/>
            </a:camera>
            <a:lightRig rig="contrasting" dir="t">
              <a:rot lat="0" lon="0" rev="1500000"/>
            </a:lightRig>
          </a:scene3d>
          <a:sp3d extrusionH="127000" prstMaterial="powder">
            <a:bevelT w="50800" h="63500"/>
          </a:sp3d>
        </a:effectStyle>
      </a:effectStyleLst>
      <a:bgFillStyleLst>
        <a:solidFill>
          <a:schemeClr val="phClr"/>
        </a:solidFill>
        <a:solidFill>
          <a:schemeClr val="phClr">
            <a:tint val="95000"/>
            <a:satMod val="170000"/>
          </a:schemeClr>
        </a:solidFill>
        <a:gradFill rotWithShape="1">
          <a:gsLst>
            <a:gs pos="0">
              <a:schemeClr val="phClr">
                <a:tint val="97000"/>
                <a:shade val="100000"/>
                <a:satMod val="185000"/>
                <a:lumMod val="120000"/>
              </a:schemeClr>
            </a:gs>
            <a:gs pos="100000">
              <a:schemeClr val="phClr">
                <a:tint val="96000"/>
                <a:shade val="95000"/>
                <a:satMod val="215000"/>
                <a:lumMod val="80000"/>
              </a:schemeClr>
            </a:gs>
          </a:gsLst>
          <a:path path="circle">
            <a:fillToRect l="50000" t="55000" r="125000" b="100000"/>
          </a:path>
        </a:gradFill>
      </a:bgFillStyleLst>
    </a:fmtScheme>
  </a:themeElements>
  <a:objectDefaults/>
  <a:extraClrSchemeLst/>
  <a:extLst>
    <a:ext uri="{05A4C25C-085E-4340-85A3-A5531E510DB2}">
      <thm15:themeFamily xmlns:thm15="http://schemas.microsoft.com/office/thememl/2012/main" name="Parcel" id="{8BEC4385-4EB9-4D53-BFB5-0EA123736B6D}" vid="{4DB32801-28C0-48B0-8C1D-A9A58613615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7.xml"/><Relationship Id="rId7" Type="http://schemas.microsoft.com/office/2007/relationships/slicer" Target="../slicers/slicer2.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drawing" Target="../drawings/drawing2.xml"/><Relationship Id="rId5" Type="http://schemas.openxmlformats.org/officeDocument/2006/relationships/pivotTable" Target="../pivotTables/pivotTable9.xml"/><Relationship Id="rId4"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B1A7BA-E24E-4535-8011-9208B9530FC1}">
  <dimension ref="A1:D11"/>
  <sheetViews>
    <sheetView workbookViewId="0">
      <selection activeCell="B16" sqref="B16"/>
    </sheetView>
  </sheetViews>
  <sheetFormatPr defaultRowHeight="13.8" x14ac:dyDescent="0.25"/>
  <cols>
    <col min="1" max="1" width="17.90625" bestFit="1" customWidth="1"/>
    <col min="2" max="2" width="21.08984375" bestFit="1" customWidth="1"/>
    <col min="3" max="3" width="8.90625" bestFit="1" customWidth="1"/>
    <col min="4" max="4" width="27" customWidth="1"/>
    <col min="5" max="5" width="19.6328125" bestFit="1" customWidth="1"/>
    <col min="6" max="6" width="13.54296875" bestFit="1" customWidth="1"/>
    <col min="7" max="7" width="17.7265625" bestFit="1" customWidth="1"/>
    <col min="8" max="8" width="21.08984375" bestFit="1" customWidth="1"/>
    <col min="9" max="9" width="15.6328125" bestFit="1" customWidth="1"/>
    <col min="10" max="10" width="15.81640625" bestFit="1" customWidth="1"/>
    <col min="11" max="11" width="7.453125" bestFit="1" customWidth="1"/>
    <col min="12" max="12" width="20.26953125" bestFit="1" customWidth="1"/>
    <col min="13" max="13" width="15.36328125" bestFit="1" customWidth="1"/>
    <col min="14" max="14" width="14.1796875" bestFit="1" customWidth="1"/>
  </cols>
  <sheetData>
    <row r="1" spans="1:4" x14ac:dyDescent="0.25">
      <c r="A1" t="s">
        <v>44</v>
      </c>
      <c r="D1" t="s">
        <v>43</v>
      </c>
    </row>
    <row r="2" spans="1:4" x14ac:dyDescent="0.25">
      <c r="A2" s="1">
        <v>50</v>
      </c>
      <c r="D2" s="6">
        <f xml:space="preserve"> A2</f>
        <v>50</v>
      </c>
    </row>
    <row r="4" spans="1:4" x14ac:dyDescent="0.25">
      <c r="A4" t="s">
        <v>46</v>
      </c>
      <c r="D4" t="s">
        <v>45</v>
      </c>
    </row>
    <row r="5" spans="1:4" x14ac:dyDescent="0.25">
      <c r="A5" s="1">
        <v>96</v>
      </c>
      <c r="D5">
        <f xml:space="preserve"> A5</f>
        <v>96</v>
      </c>
    </row>
    <row r="7" spans="1:4" x14ac:dyDescent="0.25">
      <c r="A7" t="s">
        <v>40</v>
      </c>
      <c r="D7" t="s">
        <v>47</v>
      </c>
    </row>
    <row r="8" spans="1:4" x14ac:dyDescent="0.25">
      <c r="A8" s="1">
        <v>4.702</v>
      </c>
      <c r="D8" s="5">
        <f>A8</f>
        <v>4.702</v>
      </c>
    </row>
    <row r="10" spans="1:4" x14ac:dyDescent="0.25">
      <c r="A10" t="s">
        <v>48</v>
      </c>
      <c r="D10" t="s">
        <v>48</v>
      </c>
    </row>
    <row r="11" spans="1:4" x14ac:dyDescent="0.25">
      <c r="A11" s="4">
        <v>146.38541666666666</v>
      </c>
      <c r="D11" s="7">
        <f xml:space="preserve"> A11</f>
        <v>146.38541666666666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1B6B20-5561-496C-B163-D6F47AA9750E}">
  <dimension ref="A1"/>
  <sheetViews>
    <sheetView tabSelected="1" workbookViewId="0">
      <selection activeCell="C31" sqref="C31"/>
    </sheetView>
  </sheetViews>
  <sheetFormatPr defaultRowHeight="13.8"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62A7FD-8510-4AA0-A3DB-EE3E5AEBA87B}">
  <dimension ref="A1:E132"/>
  <sheetViews>
    <sheetView topLeftCell="A83" zoomScale="70" zoomScaleNormal="70" workbookViewId="0">
      <selection activeCell="D91" sqref="D91"/>
    </sheetView>
  </sheetViews>
  <sheetFormatPr defaultRowHeight="13.8" x14ac:dyDescent="0.25"/>
  <cols>
    <col min="1" max="1" width="12.1796875" bestFit="1" customWidth="1"/>
    <col min="2" max="2" width="18" bestFit="1" customWidth="1"/>
    <col min="3" max="3" width="11.1796875" customWidth="1"/>
  </cols>
  <sheetData>
    <row r="1" spans="1:3" x14ac:dyDescent="0.25">
      <c r="A1" s="8" t="s">
        <v>49</v>
      </c>
      <c r="B1" s="8"/>
      <c r="C1" s="8"/>
    </row>
    <row r="2" spans="1:3" x14ac:dyDescent="0.25">
      <c r="A2" s="2" t="s">
        <v>41</v>
      </c>
      <c r="B2" t="s">
        <v>46</v>
      </c>
    </row>
    <row r="3" spans="1:3" x14ac:dyDescent="0.25">
      <c r="A3" s="3" t="s">
        <v>2</v>
      </c>
      <c r="B3" s="1">
        <v>17</v>
      </c>
    </row>
    <row r="4" spans="1:3" x14ac:dyDescent="0.25">
      <c r="A4" s="3" t="s">
        <v>0</v>
      </c>
      <c r="B4" s="1">
        <v>57</v>
      </c>
    </row>
    <row r="5" spans="1:3" x14ac:dyDescent="0.25">
      <c r="A5" s="3" t="s">
        <v>4</v>
      </c>
      <c r="B5" s="1">
        <v>22</v>
      </c>
    </row>
    <row r="6" spans="1:3" x14ac:dyDescent="0.25">
      <c r="A6" s="3" t="s">
        <v>30</v>
      </c>
      <c r="B6" s="1">
        <v>0</v>
      </c>
    </row>
    <row r="7" spans="1:3" x14ac:dyDescent="0.25">
      <c r="A7" s="3" t="s">
        <v>42</v>
      </c>
      <c r="B7" s="1">
        <v>96</v>
      </c>
    </row>
    <row r="10" spans="1:3" x14ac:dyDescent="0.25">
      <c r="A10" t="s">
        <v>50</v>
      </c>
    </row>
    <row r="11" spans="1:3" x14ac:dyDescent="0.25">
      <c r="A11" s="2" t="s">
        <v>41</v>
      </c>
      <c r="B11" t="s">
        <v>40</v>
      </c>
    </row>
    <row r="12" spans="1:3" x14ac:dyDescent="0.25">
      <c r="A12" s="3" t="s">
        <v>22</v>
      </c>
      <c r="B12" s="1">
        <v>4.7</v>
      </c>
    </row>
    <row r="13" spans="1:3" x14ac:dyDescent="0.25">
      <c r="A13" s="3" t="s">
        <v>24</v>
      </c>
      <c r="B13" s="1">
        <v>4.7</v>
      </c>
    </row>
    <row r="14" spans="1:3" x14ac:dyDescent="0.25">
      <c r="A14" s="3" t="s">
        <v>19</v>
      </c>
      <c r="B14" s="1">
        <v>4.5999999999999996</v>
      </c>
    </row>
    <row r="15" spans="1:3" x14ac:dyDescent="0.25">
      <c r="A15" s="3" t="s">
        <v>11</v>
      </c>
      <c r="B15" s="1">
        <v>4.75</v>
      </c>
    </row>
    <row r="16" spans="1:3" x14ac:dyDescent="0.25">
      <c r="A16" s="3" t="s">
        <v>25</v>
      </c>
      <c r="B16" s="1">
        <v>4.5999999999999996</v>
      </c>
    </row>
    <row r="17" spans="1:2" x14ac:dyDescent="0.25">
      <c r="A17" s="3" t="s">
        <v>27</v>
      </c>
      <c r="B17" s="1">
        <v>4.7</v>
      </c>
    </row>
    <row r="18" spans="1:2" x14ac:dyDescent="0.25">
      <c r="A18" s="3" t="s">
        <v>28</v>
      </c>
      <c r="B18" s="1">
        <v>4.55</v>
      </c>
    </row>
    <row r="19" spans="1:2" x14ac:dyDescent="0.25">
      <c r="A19" s="3" t="s">
        <v>36</v>
      </c>
      <c r="B19" s="1">
        <v>4.5999999999999996</v>
      </c>
    </row>
    <row r="20" spans="1:2" x14ac:dyDescent="0.25">
      <c r="A20" s="3" t="s">
        <v>39</v>
      </c>
      <c r="B20" s="1">
        <v>4.5</v>
      </c>
    </row>
    <row r="21" spans="1:2" x14ac:dyDescent="0.25">
      <c r="A21" s="3" t="s">
        <v>13</v>
      </c>
      <c r="B21" s="1">
        <v>4.7333333333333334</v>
      </c>
    </row>
    <row r="22" spans="1:2" x14ac:dyDescent="0.25">
      <c r="A22" s="3" t="s">
        <v>16</v>
      </c>
      <c r="B22" s="1">
        <v>4.7</v>
      </c>
    </row>
    <row r="23" spans="1:2" x14ac:dyDescent="0.25">
      <c r="A23" s="3" t="s">
        <v>12</v>
      </c>
      <c r="B23" s="1">
        <v>4.8</v>
      </c>
    </row>
    <row r="24" spans="1:2" x14ac:dyDescent="0.25">
      <c r="A24" s="3" t="s">
        <v>35</v>
      </c>
      <c r="B24" s="1">
        <v>4.5999999999999996</v>
      </c>
    </row>
    <row r="25" spans="1:2" x14ac:dyDescent="0.25">
      <c r="A25" s="3" t="s">
        <v>33</v>
      </c>
      <c r="B25" s="1">
        <v>4.6500000000000004</v>
      </c>
    </row>
    <row r="26" spans="1:2" x14ac:dyDescent="0.25">
      <c r="A26" s="3" t="s">
        <v>31</v>
      </c>
      <c r="B26" s="1">
        <v>4.8</v>
      </c>
    </row>
    <row r="27" spans="1:2" x14ac:dyDescent="0.25">
      <c r="A27" s="3" t="s">
        <v>38</v>
      </c>
      <c r="B27" s="1">
        <v>4.5</v>
      </c>
    </row>
    <row r="28" spans="1:2" x14ac:dyDescent="0.25">
      <c r="A28" s="3" t="s">
        <v>26</v>
      </c>
      <c r="B28" s="1">
        <v>4.5</v>
      </c>
    </row>
    <row r="29" spans="1:2" x14ac:dyDescent="0.25">
      <c r="A29" s="3" t="s">
        <v>37</v>
      </c>
      <c r="B29" s="1">
        <v>4.5999999999999996</v>
      </c>
    </row>
    <row r="30" spans="1:2" x14ac:dyDescent="0.25">
      <c r="A30" s="3" t="s">
        <v>5</v>
      </c>
      <c r="B30" s="1">
        <v>4.8</v>
      </c>
    </row>
    <row r="31" spans="1:2" x14ac:dyDescent="0.25">
      <c r="A31" s="3" t="s">
        <v>3</v>
      </c>
      <c r="B31" s="1">
        <v>4.7249999999999996</v>
      </c>
    </row>
    <row r="32" spans="1:2" x14ac:dyDescent="0.25">
      <c r="A32" s="3" t="s">
        <v>14</v>
      </c>
      <c r="B32" s="1">
        <v>4.8</v>
      </c>
    </row>
    <row r="33" spans="1:2" x14ac:dyDescent="0.25">
      <c r="A33" s="3" t="s">
        <v>9</v>
      </c>
      <c r="B33" s="1">
        <v>4.8</v>
      </c>
    </row>
    <row r="34" spans="1:2" x14ac:dyDescent="0.25">
      <c r="A34" s="3" t="s">
        <v>6</v>
      </c>
      <c r="B34" s="1">
        <v>4.9000000000000004</v>
      </c>
    </row>
    <row r="35" spans="1:2" x14ac:dyDescent="0.25">
      <c r="A35" s="3" t="s">
        <v>10</v>
      </c>
      <c r="B35" s="1">
        <v>4.75</v>
      </c>
    </row>
    <row r="36" spans="1:2" x14ac:dyDescent="0.25">
      <c r="A36" s="3" t="s">
        <v>1</v>
      </c>
      <c r="B36" s="1">
        <v>4.9000000000000004</v>
      </c>
    </row>
    <row r="37" spans="1:2" x14ac:dyDescent="0.25">
      <c r="A37" s="3" t="s">
        <v>15</v>
      </c>
      <c r="B37" s="1">
        <v>4.8</v>
      </c>
    </row>
    <row r="38" spans="1:2" x14ac:dyDescent="0.25">
      <c r="A38" s="3" t="s">
        <v>23</v>
      </c>
      <c r="B38" s="1">
        <v>4.7</v>
      </c>
    </row>
    <row r="39" spans="1:2" x14ac:dyDescent="0.25">
      <c r="A39" s="3" t="s">
        <v>20</v>
      </c>
      <c r="B39" s="1">
        <v>4.7</v>
      </c>
    </row>
    <row r="40" spans="1:2" x14ac:dyDescent="0.25">
      <c r="A40" s="3" t="s">
        <v>21</v>
      </c>
      <c r="B40" s="1">
        <v>4.7</v>
      </c>
    </row>
    <row r="41" spans="1:2" x14ac:dyDescent="0.25">
      <c r="A41" s="3" t="s">
        <v>7</v>
      </c>
      <c r="B41" s="1">
        <v>4.7333333333333334</v>
      </c>
    </row>
    <row r="42" spans="1:2" x14ac:dyDescent="0.25">
      <c r="A42" s="3" t="s">
        <v>29</v>
      </c>
      <c r="B42" s="1">
        <v>4.5999999999999996</v>
      </c>
    </row>
    <row r="43" spans="1:2" x14ac:dyDescent="0.25">
      <c r="A43" s="3" t="s">
        <v>18</v>
      </c>
      <c r="B43" s="1">
        <v>4.7</v>
      </c>
    </row>
    <row r="44" spans="1:2" x14ac:dyDescent="0.25">
      <c r="A44" s="3" t="s">
        <v>17</v>
      </c>
      <c r="B44" s="1">
        <v>4.75</v>
      </c>
    </row>
    <row r="45" spans="1:2" x14ac:dyDescent="0.25">
      <c r="A45" s="3" t="s">
        <v>32</v>
      </c>
      <c r="B45" s="1">
        <v>4.7</v>
      </c>
    </row>
    <row r="46" spans="1:2" x14ac:dyDescent="0.25">
      <c r="A46" s="3" t="s">
        <v>8</v>
      </c>
      <c r="B46" s="1">
        <v>4.8</v>
      </c>
    </row>
    <row r="47" spans="1:2" x14ac:dyDescent="0.25">
      <c r="A47" s="3" t="s">
        <v>34</v>
      </c>
      <c r="B47" s="1">
        <v>4.5999999999999996</v>
      </c>
    </row>
    <row r="48" spans="1:2" x14ac:dyDescent="0.25">
      <c r="A48" s="3" t="s">
        <v>42</v>
      </c>
      <c r="B48" s="1">
        <v>4.702</v>
      </c>
    </row>
    <row r="51" spans="1:2" x14ac:dyDescent="0.25">
      <c r="A51" t="s">
        <v>51</v>
      </c>
    </row>
    <row r="52" spans="1:2" x14ac:dyDescent="0.25">
      <c r="A52" s="2" t="s">
        <v>41</v>
      </c>
      <c r="B52" t="s">
        <v>52</v>
      </c>
    </row>
    <row r="53" spans="1:2" x14ac:dyDescent="0.25">
      <c r="A53" s="3" t="s">
        <v>22</v>
      </c>
      <c r="B53" s="1">
        <v>265</v>
      </c>
    </row>
    <row r="54" spans="1:2" x14ac:dyDescent="0.25">
      <c r="A54" s="3" t="s">
        <v>24</v>
      </c>
      <c r="B54" s="1">
        <v>265</v>
      </c>
    </row>
    <row r="55" spans="1:2" x14ac:dyDescent="0.25">
      <c r="A55" s="3" t="s">
        <v>19</v>
      </c>
      <c r="B55" s="1">
        <v>570</v>
      </c>
    </row>
    <row r="56" spans="1:2" x14ac:dyDescent="0.25">
      <c r="A56" s="3" t="s">
        <v>11</v>
      </c>
      <c r="B56" s="1">
        <v>280</v>
      </c>
    </row>
    <row r="57" spans="1:2" x14ac:dyDescent="0.25">
      <c r="A57" s="3" t="s">
        <v>25</v>
      </c>
      <c r="B57" s="1">
        <v>275</v>
      </c>
    </row>
    <row r="58" spans="1:2" x14ac:dyDescent="0.25">
      <c r="A58" s="3" t="s">
        <v>27</v>
      </c>
      <c r="B58" s="1">
        <v>210</v>
      </c>
    </row>
    <row r="59" spans="1:2" x14ac:dyDescent="0.25">
      <c r="A59" s="3" t="s">
        <v>28</v>
      </c>
      <c r="B59" s="1">
        <v>125</v>
      </c>
    </row>
    <row r="60" spans="1:2" x14ac:dyDescent="0.25">
      <c r="A60" s="3" t="s">
        <v>36</v>
      </c>
      <c r="B60" s="1">
        <v>145</v>
      </c>
    </row>
    <row r="61" spans="1:2" x14ac:dyDescent="0.25">
      <c r="A61" s="3" t="s">
        <v>39</v>
      </c>
      <c r="B61" s="1">
        <v>125</v>
      </c>
    </row>
    <row r="62" spans="1:2" x14ac:dyDescent="0.25">
      <c r="A62" s="3" t="s">
        <v>13</v>
      </c>
      <c r="B62" s="1">
        <v>316</v>
      </c>
    </row>
    <row r="63" spans="1:2" x14ac:dyDescent="0.25">
      <c r="A63" s="3" t="s">
        <v>16</v>
      </c>
      <c r="B63" s="1">
        <v>280</v>
      </c>
    </row>
    <row r="64" spans="1:2" x14ac:dyDescent="0.25">
      <c r="A64" s="3" t="s">
        <v>12</v>
      </c>
      <c r="B64" s="1">
        <v>345</v>
      </c>
    </row>
    <row r="65" spans="1:2" x14ac:dyDescent="0.25">
      <c r="A65" s="3" t="s">
        <v>35</v>
      </c>
      <c r="B65" s="1">
        <v>185</v>
      </c>
    </row>
    <row r="66" spans="1:2" x14ac:dyDescent="0.25">
      <c r="A66" s="3" t="s">
        <v>33</v>
      </c>
      <c r="B66" s="1">
        <v>147.5</v>
      </c>
    </row>
    <row r="67" spans="1:2" x14ac:dyDescent="0.25">
      <c r="A67" s="3" t="s">
        <v>31</v>
      </c>
      <c r="B67" s="1">
        <v>180</v>
      </c>
    </row>
    <row r="68" spans="1:2" x14ac:dyDescent="0.25">
      <c r="A68" s="3" t="s">
        <v>38</v>
      </c>
      <c r="B68" s="1">
        <v>220</v>
      </c>
    </row>
    <row r="69" spans="1:2" x14ac:dyDescent="0.25">
      <c r="A69" s="3" t="s">
        <v>26</v>
      </c>
      <c r="B69" s="1">
        <v>550</v>
      </c>
    </row>
    <row r="70" spans="1:2" x14ac:dyDescent="0.25">
      <c r="A70" s="3" t="s">
        <v>37</v>
      </c>
      <c r="B70" s="1">
        <v>285</v>
      </c>
    </row>
    <row r="71" spans="1:2" x14ac:dyDescent="0.25">
      <c r="A71" s="3" t="s">
        <v>5</v>
      </c>
      <c r="B71" s="1">
        <v>317.5</v>
      </c>
    </row>
    <row r="72" spans="1:2" x14ac:dyDescent="0.25">
      <c r="A72" s="3" t="s">
        <v>3</v>
      </c>
      <c r="B72" s="1">
        <v>238.75</v>
      </c>
    </row>
    <row r="73" spans="1:2" x14ac:dyDescent="0.25">
      <c r="A73" s="3" t="s">
        <v>14</v>
      </c>
      <c r="B73" s="1">
        <v>385</v>
      </c>
    </row>
    <row r="74" spans="1:2" x14ac:dyDescent="0.25">
      <c r="A74" s="3" t="s">
        <v>9</v>
      </c>
      <c r="B74" s="1">
        <v>295</v>
      </c>
    </row>
    <row r="75" spans="1:2" x14ac:dyDescent="0.25">
      <c r="A75" s="3" t="s">
        <v>6</v>
      </c>
      <c r="B75" s="1">
        <v>425</v>
      </c>
    </row>
    <row r="76" spans="1:2" x14ac:dyDescent="0.25">
      <c r="A76" s="3" t="s">
        <v>10</v>
      </c>
      <c r="B76" s="1">
        <v>300</v>
      </c>
    </row>
    <row r="77" spans="1:2" x14ac:dyDescent="0.25">
      <c r="A77" s="3" t="s">
        <v>1</v>
      </c>
      <c r="B77" s="1">
        <v>320</v>
      </c>
    </row>
    <row r="78" spans="1:2" x14ac:dyDescent="0.25">
      <c r="A78" s="3" t="s">
        <v>15</v>
      </c>
      <c r="B78" s="1">
        <v>310</v>
      </c>
    </row>
    <row r="79" spans="1:2" x14ac:dyDescent="0.25">
      <c r="A79" s="3" t="s">
        <v>23</v>
      </c>
      <c r="B79" s="1">
        <v>275</v>
      </c>
    </row>
    <row r="80" spans="1:2" x14ac:dyDescent="0.25">
      <c r="A80" s="3" t="s">
        <v>20</v>
      </c>
      <c r="B80" s="1">
        <v>280</v>
      </c>
    </row>
    <row r="81" spans="1:5" x14ac:dyDescent="0.25">
      <c r="A81" s="3" t="s">
        <v>21</v>
      </c>
      <c r="B81" s="1">
        <v>325</v>
      </c>
    </row>
    <row r="82" spans="1:5" x14ac:dyDescent="0.25">
      <c r="A82" s="3" t="s">
        <v>7</v>
      </c>
      <c r="B82" s="1">
        <v>290</v>
      </c>
    </row>
    <row r="83" spans="1:5" x14ac:dyDescent="0.25">
      <c r="A83" s="3" t="s">
        <v>29</v>
      </c>
      <c r="B83" s="1">
        <v>165</v>
      </c>
    </row>
    <row r="84" spans="1:5" x14ac:dyDescent="0.25">
      <c r="A84" s="3" t="s">
        <v>18</v>
      </c>
      <c r="B84" s="1">
        <v>385</v>
      </c>
    </row>
    <row r="85" spans="1:5" x14ac:dyDescent="0.25">
      <c r="A85" s="3" t="s">
        <v>17</v>
      </c>
      <c r="B85" s="1">
        <v>435</v>
      </c>
    </row>
    <row r="86" spans="1:5" x14ac:dyDescent="0.25">
      <c r="A86" s="3" t="s">
        <v>32</v>
      </c>
      <c r="B86" s="1">
        <v>165</v>
      </c>
    </row>
    <row r="87" spans="1:5" x14ac:dyDescent="0.25">
      <c r="A87" s="3" t="s">
        <v>8</v>
      </c>
      <c r="B87" s="1">
        <v>380</v>
      </c>
    </row>
    <row r="88" spans="1:5" x14ac:dyDescent="0.25">
      <c r="A88" s="3" t="s">
        <v>34</v>
      </c>
      <c r="B88" s="1">
        <v>195</v>
      </c>
    </row>
    <row r="89" spans="1:5" x14ac:dyDescent="0.25">
      <c r="A89" s="3" t="s">
        <v>42</v>
      </c>
      <c r="B89" s="1">
        <v>281.06</v>
      </c>
    </row>
    <row r="92" spans="1:5" x14ac:dyDescent="0.25">
      <c r="A92" t="s">
        <v>53</v>
      </c>
    </row>
    <row r="93" spans="1:5" x14ac:dyDescent="0.25">
      <c r="A93" s="2" t="s">
        <v>41</v>
      </c>
      <c r="B93" t="s">
        <v>46</v>
      </c>
      <c r="D93" t="s">
        <v>54</v>
      </c>
      <c r="E93" t="s">
        <v>45</v>
      </c>
    </row>
    <row r="94" spans="1:5" x14ac:dyDescent="0.25">
      <c r="A94" s="3">
        <v>8</v>
      </c>
      <c r="B94" s="1">
        <v>0</v>
      </c>
      <c r="D94">
        <f>A94</f>
        <v>8</v>
      </c>
      <c r="E94">
        <f>B94</f>
        <v>0</v>
      </c>
    </row>
    <row r="95" spans="1:5" x14ac:dyDescent="0.25">
      <c r="A95" s="3">
        <v>9</v>
      </c>
      <c r="B95" s="1">
        <v>2</v>
      </c>
      <c r="D95">
        <f t="shared" ref="D95:D119" si="0">A95</f>
        <v>9</v>
      </c>
      <c r="E95">
        <f t="shared" ref="E95:E119" si="1">B95</f>
        <v>2</v>
      </c>
    </row>
    <row r="96" spans="1:5" x14ac:dyDescent="0.25">
      <c r="A96" s="3">
        <v>10</v>
      </c>
      <c r="B96" s="1">
        <v>2</v>
      </c>
      <c r="D96">
        <f t="shared" si="0"/>
        <v>10</v>
      </c>
      <c r="E96">
        <f t="shared" si="1"/>
        <v>2</v>
      </c>
    </row>
    <row r="97" spans="1:5" x14ac:dyDescent="0.25">
      <c r="A97" s="3">
        <v>11</v>
      </c>
      <c r="B97" s="1">
        <v>2</v>
      </c>
      <c r="D97">
        <f t="shared" si="0"/>
        <v>11</v>
      </c>
      <c r="E97">
        <f t="shared" si="1"/>
        <v>2</v>
      </c>
    </row>
    <row r="98" spans="1:5" x14ac:dyDescent="0.25">
      <c r="A98" s="3">
        <v>12</v>
      </c>
      <c r="B98" s="1">
        <v>2</v>
      </c>
      <c r="D98">
        <f t="shared" si="0"/>
        <v>12</v>
      </c>
      <c r="E98">
        <f t="shared" si="1"/>
        <v>2</v>
      </c>
    </row>
    <row r="99" spans="1:5" x14ac:dyDescent="0.25">
      <c r="A99" s="3">
        <v>13</v>
      </c>
      <c r="B99" s="1">
        <v>3</v>
      </c>
      <c r="D99">
        <f t="shared" si="0"/>
        <v>13</v>
      </c>
      <c r="E99">
        <f t="shared" si="1"/>
        <v>3</v>
      </c>
    </row>
    <row r="100" spans="1:5" x14ac:dyDescent="0.25">
      <c r="A100" s="3">
        <v>14</v>
      </c>
      <c r="B100" s="1">
        <v>4</v>
      </c>
      <c r="D100">
        <f t="shared" si="0"/>
        <v>14</v>
      </c>
      <c r="E100">
        <f t="shared" si="1"/>
        <v>4</v>
      </c>
    </row>
    <row r="101" spans="1:5" x14ac:dyDescent="0.25">
      <c r="A101" s="3">
        <v>15</v>
      </c>
      <c r="B101" s="1">
        <v>7</v>
      </c>
      <c r="D101">
        <f t="shared" si="0"/>
        <v>15</v>
      </c>
      <c r="E101">
        <f t="shared" si="1"/>
        <v>7</v>
      </c>
    </row>
    <row r="102" spans="1:5" x14ac:dyDescent="0.25">
      <c r="A102" s="3">
        <v>16</v>
      </c>
      <c r="B102" s="1">
        <v>2</v>
      </c>
      <c r="D102">
        <f t="shared" si="0"/>
        <v>16</v>
      </c>
      <c r="E102">
        <f t="shared" si="1"/>
        <v>2</v>
      </c>
    </row>
    <row r="103" spans="1:5" x14ac:dyDescent="0.25">
      <c r="A103" s="3">
        <v>17</v>
      </c>
      <c r="B103" s="1">
        <v>8</v>
      </c>
      <c r="D103">
        <f t="shared" si="0"/>
        <v>17</v>
      </c>
      <c r="E103">
        <f t="shared" si="1"/>
        <v>8</v>
      </c>
    </row>
    <row r="104" spans="1:5" x14ac:dyDescent="0.25">
      <c r="A104" s="3">
        <v>18</v>
      </c>
      <c r="B104" s="1">
        <v>5</v>
      </c>
      <c r="D104">
        <f t="shared" si="0"/>
        <v>18</v>
      </c>
      <c r="E104">
        <f t="shared" si="1"/>
        <v>5</v>
      </c>
    </row>
    <row r="105" spans="1:5" x14ac:dyDescent="0.25">
      <c r="A105" s="3">
        <v>19</v>
      </c>
      <c r="B105" s="1">
        <v>0</v>
      </c>
      <c r="D105">
        <f t="shared" si="0"/>
        <v>19</v>
      </c>
      <c r="E105">
        <f t="shared" si="1"/>
        <v>0</v>
      </c>
    </row>
    <row r="106" spans="1:5" x14ac:dyDescent="0.25">
      <c r="A106" s="3">
        <v>20</v>
      </c>
      <c r="B106" s="1">
        <v>13</v>
      </c>
      <c r="D106">
        <f t="shared" si="0"/>
        <v>20</v>
      </c>
      <c r="E106">
        <f t="shared" si="1"/>
        <v>13</v>
      </c>
    </row>
    <row r="107" spans="1:5" x14ac:dyDescent="0.25">
      <c r="A107" s="3">
        <v>21</v>
      </c>
      <c r="B107" s="1">
        <v>0</v>
      </c>
      <c r="D107">
        <f t="shared" si="0"/>
        <v>21</v>
      </c>
      <c r="E107">
        <f t="shared" si="1"/>
        <v>0</v>
      </c>
    </row>
    <row r="108" spans="1:5" x14ac:dyDescent="0.25">
      <c r="A108" s="3">
        <v>22</v>
      </c>
      <c r="B108" s="1">
        <v>7</v>
      </c>
      <c r="D108">
        <f t="shared" si="0"/>
        <v>22</v>
      </c>
      <c r="E108">
        <f t="shared" si="1"/>
        <v>7</v>
      </c>
    </row>
    <row r="109" spans="1:5" x14ac:dyDescent="0.25">
      <c r="A109" s="3">
        <v>25</v>
      </c>
      <c r="B109" s="1">
        <v>3</v>
      </c>
      <c r="D109">
        <f t="shared" si="0"/>
        <v>25</v>
      </c>
      <c r="E109">
        <f t="shared" si="1"/>
        <v>3</v>
      </c>
    </row>
    <row r="110" spans="1:5" x14ac:dyDescent="0.25">
      <c r="A110" s="3">
        <v>27</v>
      </c>
      <c r="B110" s="1">
        <v>5</v>
      </c>
      <c r="D110">
        <f t="shared" si="0"/>
        <v>27</v>
      </c>
      <c r="E110">
        <f t="shared" si="1"/>
        <v>5</v>
      </c>
    </row>
    <row r="111" spans="1:5" x14ac:dyDescent="0.25">
      <c r="A111" s="3">
        <v>30</v>
      </c>
      <c r="B111" s="1">
        <v>3</v>
      </c>
      <c r="D111">
        <f t="shared" si="0"/>
        <v>30</v>
      </c>
      <c r="E111">
        <f t="shared" si="1"/>
        <v>3</v>
      </c>
    </row>
    <row r="112" spans="1:5" x14ac:dyDescent="0.25">
      <c r="A112" s="3">
        <v>31</v>
      </c>
      <c r="B112" s="1">
        <v>6</v>
      </c>
      <c r="D112">
        <f t="shared" si="0"/>
        <v>31</v>
      </c>
      <c r="E112">
        <f t="shared" si="1"/>
        <v>6</v>
      </c>
    </row>
    <row r="113" spans="1:5" x14ac:dyDescent="0.25">
      <c r="A113" s="3">
        <v>34</v>
      </c>
      <c r="B113" s="1">
        <v>3</v>
      </c>
      <c r="D113">
        <f t="shared" si="0"/>
        <v>34</v>
      </c>
      <c r="E113">
        <f t="shared" si="1"/>
        <v>3</v>
      </c>
    </row>
    <row r="114" spans="1:5" x14ac:dyDescent="0.25">
      <c r="A114" s="3">
        <v>35</v>
      </c>
      <c r="B114" s="1">
        <v>1</v>
      </c>
      <c r="D114">
        <f t="shared" si="0"/>
        <v>35</v>
      </c>
      <c r="E114">
        <f t="shared" si="1"/>
        <v>1</v>
      </c>
    </row>
    <row r="115" spans="1:5" x14ac:dyDescent="0.25">
      <c r="A115" s="3">
        <v>36</v>
      </c>
      <c r="B115" s="1">
        <v>3</v>
      </c>
      <c r="D115">
        <f t="shared" si="0"/>
        <v>36</v>
      </c>
      <c r="E115">
        <f t="shared" si="1"/>
        <v>3</v>
      </c>
    </row>
    <row r="116" spans="1:5" x14ac:dyDescent="0.25">
      <c r="A116" s="3">
        <v>39</v>
      </c>
      <c r="B116" s="1">
        <v>6</v>
      </c>
      <c r="D116">
        <f t="shared" si="0"/>
        <v>39</v>
      </c>
      <c r="E116">
        <f t="shared" si="1"/>
        <v>6</v>
      </c>
    </row>
    <row r="117" spans="1:5" x14ac:dyDescent="0.25">
      <c r="A117" s="3">
        <v>44</v>
      </c>
      <c r="B117" s="1">
        <v>3</v>
      </c>
      <c r="D117">
        <f t="shared" si="0"/>
        <v>44</v>
      </c>
      <c r="E117">
        <f t="shared" si="1"/>
        <v>3</v>
      </c>
    </row>
    <row r="118" spans="1:5" x14ac:dyDescent="0.25">
      <c r="A118" s="3">
        <v>53</v>
      </c>
      <c r="B118" s="1">
        <v>3</v>
      </c>
      <c r="D118">
        <f t="shared" si="0"/>
        <v>53</v>
      </c>
      <c r="E118">
        <f t="shared" si="1"/>
        <v>3</v>
      </c>
    </row>
    <row r="119" spans="1:5" x14ac:dyDescent="0.25">
      <c r="A119" s="3">
        <v>128</v>
      </c>
      <c r="B119" s="1">
        <v>3</v>
      </c>
      <c r="D119">
        <f t="shared" si="0"/>
        <v>128</v>
      </c>
      <c r="E119">
        <f t="shared" si="1"/>
        <v>3</v>
      </c>
    </row>
    <row r="120" spans="1:5" x14ac:dyDescent="0.25">
      <c r="A120" s="3" t="s">
        <v>42</v>
      </c>
      <c r="B120" s="1">
        <v>96</v>
      </c>
    </row>
    <row r="126" spans="1:5" x14ac:dyDescent="0.25">
      <c r="A126" t="s">
        <v>55</v>
      </c>
    </row>
    <row r="127" spans="1:5" x14ac:dyDescent="0.25">
      <c r="A127" s="2" t="s">
        <v>41</v>
      </c>
      <c r="B127" t="s">
        <v>56</v>
      </c>
    </row>
    <row r="128" spans="1:5" x14ac:dyDescent="0.25">
      <c r="A128" s="3" t="s">
        <v>2</v>
      </c>
      <c r="B128" s="1">
        <v>4.9000000000000004</v>
      </c>
    </row>
    <row r="129" spans="1:2" x14ac:dyDescent="0.25">
      <c r="A129" s="3" t="s">
        <v>0</v>
      </c>
      <c r="B129" s="1">
        <v>4.9000000000000004</v>
      </c>
    </row>
    <row r="130" spans="1:2" x14ac:dyDescent="0.25">
      <c r="A130" s="3" t="s">
        <v>4</v>
      </c>
      <c r="B130" s="1">
        <v>4.9000000000000004</v>
      </c>
    </row>
    <row r="131" spans="1:2" x14ac:dyDescent="0.25">
      <c r="A131" s="3" t="s">
        <v>30</v>
      </c>
      <c r="B131" s="1">
        <v>4.8</v>
      </c>
    </row>
    <row r="132" spans="1:2" x14ac:dyDescent="0.25">
      <c r="A132" s="3" t="s">
        <v>42</v>
      </c>
      <c r="B132" s="1">
        <v>4.9000000000000004</v>
      </c>
    </row>
  </sheetData>
  <mergeCells count="1">
    <mergeCell ref="A1:C1"/>
  </mergeCells>
  <pageMargins left="0.7" right="0.7" top="0.75" bottom="0.75" header="0.3" footer="0.3"/>
  <drawing r:id="rId6"/>
  <extLst>
    <ext xmlns:x14="http://schemas.microsoft.com/office/spreadsheetml/2009/9/main" uri="{A8765BA9-456A-4dab-B4F3-ACF838C121DE}">
      <x14:slicerList>
        <x14:slicer r:id="rId7"/>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Props1.xml><?xml version="1.0" encoding="utf-8"?>
<ds:datastoreItem xmlns:ds="http://schemas.openxmlformats.org/officeDocument/2006/customXml" ds:itemID="{A0860A64-0FA6-47F6-AE6B-3126C9630D02}">
  <ds:schemaRefs>
    <ds:schemaRef ds:uri="http://schemas.microsoft.com/DataMashup"/>
  </ds:schemaRefs>
</ds:datastoreItem>
</file>

<file path=customXml/itemProps2.xml><?xml version="1.0" encoding="utf-8"?>
<ds:datastoreItem xmlns:ds="http://schemas.openxmlformats.org/officeDocument/2006/customXml" ds:itemID="{9D219237-0967-4CAE-BF99-B70125E3D030}">
  <ds:schemaRefs/>
</ds:datastoreItem>
</file>

<file path=customXml/itemProps3.xml><?xml version="1.0" encoding="utf-8"?>
<ds:datastoreItem xmlns:ds="http://schemas.openxmlformats.org/officeDocument/2006/customXml" ds:itemID="{A42EAAF1-7136-4070-A04C-003554BE7DE3}">
  <ds:schemaRefs/>
</ds:datastoreItem>
</file>

<file path=customXml/itemProps4.xml><?xml version="1.0" encoding="utf-8"?>
<ds:datastoreItem xmlns:ds="http://schemas.openxmlformats.org/officeDocument/2006/customXml" ds:itemID="{2CD0FEBF-C1A2-46D2-A064-91C93A579F70}">
  <ds:schemaRefs/>
</ds:datastoreItem>
</file>

<file path=customXml/itemProps5.xml><?xml version="1.0" encoding="utf-8"?>
<ds:datastoreItem xmlns:ds="http://schemas.openxmlformats.org/officeDocument/2006/customXml" ds:itemID="{245C3C22-584A-498E-9A0A-3C96A92D5AD0}">
  <ds:schemaRefs/>
</ds:datastoreItem>
</file>

<file path=customXml/itemProps6.xml><?xml version="1.0" encoding="utf-8"?>
<ds:datastoreItem xmlns:ds="http://schemas.openxmlformats.org/officeDocument/2006/customXml" ds:itemID="{AEE40EAA-07F9-437B-8A58-CA45DF141419}">
  <ds:schemaRefs/>
</ds:datastoreItem>
</file>

<file path=customXml/itemProps7.xml><?xml version="1.0" encoding="utf-8"?>
<ds:datastoreItem xmlns:ds="http://schemas.openxmlformats.org/officeDocument/2006/customXml" ds:itemID="{8DE4EDC6-2E9A-41C9-B87C-898BD5AD83F7}">
  <ds:schemaRefs/>
</ds:datastoreItem>
</file>

<file path=customXml/itemProps8.xml><?xml version="1.0" encoding="utf-8"?>
<ds:datastoreItem xmlns:ds="http://schemas.openxmlformats.org/officeDocument/2006/customXml" ds:itemID="{B61CA9D2-DE24-4344-BEB0-F6438EF477B5}">
  <ds:schemaRefs/>
</ds:datastoreItem>
</file>

<file path=customXml/itemProps9.xml><?xml version="1.0" encoding="utf-8"?>
<ds:datastoreItem xmlns:ds="http://schemas.openxmlformats.org/officeDocument/2006/customXml" ds:itemID="{5A25CBE4-F644-487B-A153-6AD5CF339B13}">
  <ds:schemaRefs/>
</ds:datastoreItem>
</file>

<file path=customXml/itemProps10.xml><?xml version="1.0" encoding="utf-8"?>
<ds:datastoreItem xmlns:ds="http://schemas.openxmlformats.org/officeDocument/2006/customXml" ds:itemID="{E748BCC5-1167-4C80-8961-BD4DC327115A}">
  <ds:schemaRefs/>
</ds:datastoreItem>
</file>

<file path=customXml/itemProps11.xml><?xml version="1.0" encoding="utf-8"?>
<ds:datastoreItem xmlns:ds="http://schemas.openxmlformats.org/officeDocument/2006/customXml" ds:itemID="{55F29B76-59B5-4C47-84E0-733558C3FA92}">
  <ds:schemaRefs/>
</ds:datastoreItem>
</file>

<file path=customXml/itemProps12.xml><?xml version="1.0" encoding="utf-8"?>
<ds:datastoreItem xmlns:ds="http://schemas.openxmlformats.org/officeDocument/2006/customXml" ds:itemID="{6117469E-1C81-4EF4-B42F-6E7297ECDD11}">
  <ds:schemaRefs/>
</ds:datastoreItem>
</file>

<file path=customXml/itemProps13.xml><?xml version="1.0" encoding="utf-8"?>
<ds:datastoreItem xmlns:ds="http://schemas.openxmlformats.org/officeDocument/2006/customXml" ds:itemID="{90E33B5C-6AA6-416E-8244-3F8004E04D30}">
  <ds:schemaRefs/>
</ds:datastoreItem>
</file>

<file path=customXml/itemProps14.xml><?xml version="1.0" encoding="utf-8"?>
<ds:datastoreItem xmlns:ds="http://schemas.openxmlformats.org/officeDocument/2006/customXml" ds:itemID="{E0D4EFDB-B4D3-44BB-8B9E-A4503C68B468}">
  <ds:schemaRefs/>
</ds:datastoreItem>
</file>

<file path=customXml/itemProps15.xml><?xml version="1.0" encoding="utf-8"?>
<ds:datastoreItem xmlns:ds="http://schemas.openxmlformats.org/officeDocument/2006/customXml" ds:itemID="{BC566709-8C50-4881-AD08-D41363C37D67}">
  <ds:schemaRefs/>
</ds:datastoreItem>
</file>

<file path=customXml/itemProps16.xml><?xml version="1.0" encoding="utf-8"?>
<ds:datastoreItem xmlns:ds="http://schemas.openxmlformats.org/officeDocument/2006/customXml" ds:itemID="{5D1AD973-C24D-41B6-9CC1-F780F2EC5214}">
  <ds:schemaRefs/>
</ds:datastoreItem>
</file>

<file path=customXml/itemProps17.xml><?xml version="1.0" encoding="utf-8"?>
<ds:datastoreItem xmlns:ds="http://schemas.openxmlformats.org/officeDocument/2006/customXml" ds:itemID="{769513EB-3463-439A-897E-EF8153684197}">
  <ds:schemaRefs/>
</ds:datastoreItem>
</file>

<file path=customXml/itemProps18.xml><?xml version="1.0" encoding="utf-8"?>
<ds:datastoreItem xmlns:ds="http://schemas.openxmlformats.org/officeDocument/2006/customXml" ds:itemID="{5651AFF4-1F8F-4850-B57B-99A1C2ECFE90}">
  <ds:schemaRefs/>
</ds:datastoreItem>
</file>

<file path=customXml/itemProps19.xml><?xml version="1.0" encoding="utf-8"?>
<ds:datastoreItem xmlns:ds="http://schemas.openxmlformats.org/officeDocument/2006/customXml" ds:itemID="{0D2F73AC-0ECD-4413-8DCD-D0AAD5B250B2}">
  <ds:schemaRefs/>
</ds:datastoreItem>
</file>

<file path=customXml/itemProps20.xml><?xml version="1.0" encoding="utf-8"?>
<ds:datastoreItem xmlns:ds="http://schemas.openxmlformats.org/officeDocument/2006/customXml" ds:itemID="{CAA2BE98-3F1A-4D4F-9CF0-1D79935396B8}">
  <ds:schemaRefs/>
</ds:datastoreItem>
</file>

<file path=customXml/itemProps21.xml><?xml version="1.0" encoding="utf-8"?>
<ds:datastoreItem xmlns:ds="http://schemas.openxmlformats.org/officeDocument/2006/customXml" ds:itemID="{AAB034FF-80C3-4CA6-B518-6F775E51A16C}">
  <ds:schemaRefs/>
</ds:datastoreItem>
</file>

<file path=customXml/itemProps22.xml><?xml version="1.0" encoding="utf-8"?>
<ds:datastoreItem xmlns:ds="http://schemas.openxmlformats.org/officeDocument/2006/customXml" ds:itemID="{52F134BE-E104-40C0-9169-CD3ACB4E51A6}">
  <ds:schemaRefs/>
</ds:datastoreItem>
</file>

<file path=customXml/itemProps23.xml><?xml version="1.0" encoding="utf-8"?>
<ds:datastoreItem xmlns:ds="http://schemas.openxmlformats.org/officeDocument/2006/customXml" ds:itemID="{0F9E9A12-7472-4B3C-AF93-556C1A9DA0E8}">
  <ds:schemaRefs/>
</ds:datastoreItem>
</file>

<file path=customXml/itemProps24.xml><?xml version="1.0" encoding="utf-8"?>
<ds:datastoreItem xmlns:ds="http://schemas.openxmlformats.org/officeDocument/2006/customXml" ds:itemID="{E51D02CA-4E5D-45D9-9F96-1B0358EF1333}">
  <ds:schemaRefs/>
</ds:datastoreItem>
</file>

<file path=customXml/itemProps25.xml><?xml version="1.0" encoding="utf-8"?>
<ds:datastoreItem xmlns:ds="http://schemas.openxmlformats.org/officeDocument/2006/customXml" ds:itemID="{32B5F18C-FF8D-4349-B923-684945732F3A}">
  <ds:schemaRefs/>
</ds:datastoreItem>
</file>

<file path=customXml/itemProps26.xml><?xml version="1.0" encoding="utf-8"?>
<ds:datastoreItem xmlns:ds="http://schemas.openxmlformats.org/officeDocument/2006/customXml" ds:itemID="{AB783F53-8394-4924-8C6F-EDB6E14D5BE9}">
  <ds:schemaRefs/>
</ds:datastoreItem>
</file>

<file path=customXml/itemProps27.xml><?xml version="1.0" encoding="utf-8"?>
<ds:datastoreItem xmlns:ds="http://schemas.openxmlformats.org/officeDocument/2006/customXml" ds:itemID="{CE843EB3-3BD0-48D4-80DC-F8769762D3D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KPIs</vt:lpstr>
      <vt:lpstr>Dashboard</vt:lpstr>
      <vt:lpstr>BQ</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Faizan Ahmed Khan</dc:creator>
  <cp:lastModifiedBy>Faizan Ahmed Khan</cp:lastModifiedBy>
  <dcterms:created xsi:type="dcterms:W3CDTF">2025-11-24T13:07:39Z</dcterms:created>
  <dcterms:modified xsi:type="dcterms:W3CDTF">2025-11-24T15:47:32Z</dcterms:modified>
</cp:coreProperties>
</file>